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ersonage\Desktop\"/>
    </mc:Choice>
  </mc:AlternateContent>
  <xr:revisionPtr revIDLastSave="0" documentId="13_ncr:1_{96F653EA-06E0-45CA-9203-54BC40862232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G2" i="1"/>
  <c r="G3" i="1"/>
  <c r="G4" i="1"/>
  <c r="G5" i="1"/>
  <c r="G6" i="1"/>
  <c r="B9" i="1" l="1"/>
  <c r="B11" i="1" s="1"/>
  <c r="B12" i="1" s="1"/>
  <c r="B10" i="1"/>
</calcChain>
</file>

<file path=xl/sharedStrings.xml><?xml version="1.0" encoding="utf-8"?>
<sst xmlns="http://schemas.openxmlformats.org/spreadsheetml/2006/main" count="13" uniqueCount="13">
  <si>
    <t>催化剂名称</t>
    <phoneticPr fontId="1" type="noConversion"/>
  </si>
  <si>
    <t>p/p0</t>
    <phoneticPr fontId="2" type="noConversion"/>
  </si>
  <si>
    <t>p</t>
    <phoneticPr fontId="2" type="noConversion"/>
  </si>
  <si>
    <t>V</t>
    <phoneticPr fontId="2" type="noConversion"/>
  </si>
  <si>
    <t>Elapsed Time</t>
  </si>
  <si>
    <t>Saturation Press</t>
  </si>
  <si>
    <t>y</t>
    <phoneticPr fontId="1" type="noConversion"/>
  </si>
  <si>
    <t>x</t>
    <phoneticPr fontId="1" type="noConversion"/>
  </si>
  <si>
    <t>Vm</t>
    <phoneticPr fontId="1" type="noConversion"/>
  </si>
  <si>
    <t>A</t>
    <phoneticPr fontId="1" type="noConversion"/>
  </si>
  <si>
    <t>斜率</t>
    <phoneticPr fontId="1" type="noConversion"/>
  </si>
  <si>
    <t>4#</t>
    <phoneticPr fontId="1" type="noConversion"/>
  </si>
  <si>
    <t>截距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</si>
</sst>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CourierNewPSM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/>
    <xf numFmtId="176" fontId="0" fillId="0" borderId="0" xfId="0" applyNumberFormat="1"/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BET</a:t>
            </a:r>
            <a:r>
              <a:rPr lang="zh-CN" altLang="en-US"/>
              <a:t>拟合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5446216097987754"/>
                  <c:y val="4.7914843977836102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zh-CN"/>
                </a:p>
              </c:txPr>
            </c:trendlineLbl>
          </c:trendline>
          <c:xVal>
            <c:numRef>
              <c:f>Sheet1!$G$2:$G$6</c:f>
              <c:numCache>
                <c:formatCode>0.000000</c:formatCode>
                <c:ptCount val="5"/>
                <c:pt idx="0">
                  <c:v>5.2791630999999999E-2</c:v>
                </c:pt>
                <c:pt idx="1">
                  <c:v>0.13212696500000001</c:v>
                </c:pt>
                <c:pt idx="2">
                  <c:v>0.19788392899999999</c:v>
                </c:pt>
                <c:pt idx="3">
                  <c:v>0.27398196899999999</c:v>
                </c:pt>
                <c:pt idx="4">
                  <c:v>0.35045641</c:v>
                </c:pt>
              </c:numCache>
            </c:numRef>
          </c:xVal>
          <c:yVal>
            <c:numRef>
              <c:f>Sheet1!$F$2:$F$6</c:f>
              <c:numCache>
                <c:formatCode>General</c:formatCode>
                <c:ptCount val="5"/>
                <c:pt idx="0">
                  <c:v>7.3795319814875453E-4</c:v>
                </c:pt>
                <c:pt idx="1">
                  <c:v>1.6358352015314796E-3</c:v>
                </c:pt>
                <c:pt idx="2">
                  <c:v>2.3815337008284642E-3</c:v>
                </c:pt>
                <c:pt idx="3">
                  <c:v>3.2900496300540807E-3</c:v>
                </c:pt>
                <c:pt idx="4">
                  <c:v>4.2750638663586393E-3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C02-4945-BF4E-E1EDBDC3B1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938831"/>
        <c:axId val="80939311"/>
      </c:scatterChart>
      <c:valAx>
        <c:axId val="809388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p/p₀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0.000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939311"/>
        <c:crosses val="autoZero"/>
        <c:crossBetween val="midCat"/>
      </c:valAx>
      <c:valAx>
        <c:axId val="8093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V(p₀/p - 1)</a:t>
                </a:r>
                <a:endParaRPr lang="zh-CN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8093883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203200</xdr:colOff>
      <xdr:row>8</xdr:row>
      <xdr:rowOff>73025</xdr:rowOff>
    </xdr:from>
    <xdr:to>
      <xdr:col>12</xdr:col>
      <xdr:colOff>152400</xdr:colOff>
      <xdr:row>23</xdr:row>
      <xdr:rowOff>149225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64D9846-FC25-6E1E-C175-206C47D271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"/>
  <sheetViews>
    <sheetView tabSelected="1" zoomScaleNormal="100" workbookViewId="0">
      <selection activeCell="C12" sqref="C12"/>
    </sheetView>
  </sheetViews>
  <sheetFormatPr defaultRowHeight="14"/>
  <cols>
    <col min="2" max="2" width="13.6640625" bestFit="1" customWidth="1"/>
    <col min="4" max="4" width="13.6640625" customWidth="1"/>
    <col min="5" max="5" width="13.4140625" customWidth="1"/>
  </cols>
  <sheetData>
    <row r="1" spans="1:16">
      <c r="A1" s="1" t="s">
        <v>1</v>
      </c>
      <c r="B1" s="1" t="s">
        <v>2</v>
      </c>
      <c r="C1" s="1" t="s">
        <v>3</v>
      </c>
      <c r="D1" s="2" t="s">
        <v>4</v>
      </c>
      <c r="E1" s="2" t="s">
        <v>5</v>
      </c>
      <c r="F1" s="1" t="s">
        <v>6</v>
      </c>
      <c r="G1" s="1" t="s">
        <v>7</v>
      </c>
      <c r="O1" t="s">
        <v>0</v>
      </c>
      <c r="P1" t="s">
        <v>11</v>
      </c>
    </row>
    <row r="2" spans="1:16">
      <c r="A2" s="4">
        <v>5.2791630999999999E-2</v>
      </c>
      <c r="B2" s="4">
        <v>41.759869999999999</v>
      </c>
      <c r="C2" s="4">
        <v>75.525000000000006</v>
      </c>
      <c r="F2">
        <f>1/(C2*(1/A2-1))</f>
        <v>7.3795319814875453E-4</v>
      </c>
      <c r="G2" s="3">
        <f>A2</f>
        <v>5.2791630999999999E-2</v>
      </c>
    </row>
    <row r="3" spans="1:16">
      <c r="A3" s="4">
        <v>0.13212696500000001</v>
      </c>
      <c r="B3" s="4">
        <v>104.51665</v>
      </c>
      <c r="C3" s="4">
        <v>93.066999999999993</v>
      </c>
      <c r="F3">
        <f t="shared" ref="F3:F6" si="0">1/(C3*(1/A3-1))</f>
        <v>1.6358352015314796E-3</v>
      </c>
      <c r="G3" s="3">
        <f t="shared" ref="G3:G6" si="1">A3</f>
        <v>0.13212696500000001</v>
      </c>
    </row>
    <row r="4" spans="1:16">
      <c r="A4" s="4">
        <v>0.19788392899999999</v>
      </c>
      <c r="B4" s="4">
        <v>156.53252000000001</v>
      </c>
      <c r="C4" s="4">
        <v>103.58969999999999</v>
      </c>
      <c r="F4">
        <f t="shared" si="0"/>
        <v>2.3815337008284642E-3</v>
      </c>
      <c r="G4" s="3">
        <f t="shared" si="1"/>
        <v>0.19788392899999999</v>
      </c>
    </row>
    <row r="5" spans="1:16">
      <c r="A5" s="4">
        <v>0.27398196899999999</v>
      </c>
      <c r="B5" s="4">
        <v>216.7285</v>
      </c>
      <c r="C5" s="4">
        <v>114.70229999999999</v>
      </c>
      <c r="F5">
        <f t="shared" si="0"/>
        <v>3.2900496300540807E-3</v>
      </c>
      <c r="G5" s="3">
        <f t="shared" si="1"/>
        <v>0.27398196899999999</v>
      </c>
    </row>
    <row r="6" spans="1:16">
      <c r="A6" s="4">
        <v>0.35045641</v>
      </c>
      <c r="B6" s="4">
        <v>277.22223000000002</v>
      </c>
      <c r="C6" s="4">
        <v>126.2069</v>
      </c>
      <c r="F6">
        <f t="shared" si="0"/>
        <v>4.2750638663586393E-3</v>
      </c>
      <c r="G6" s="3">
        <f t="shared" si="1"/>
        <v>0.35045641</v>
      </c>
    </row>
    <row r="9" spans="1:16">
      <c r="A9" t="s">
        <v>10</v>
      </c>
      <c r="B9">
        <f>SLOPE(F2:F6,G2:G6)</f>
        <v>1.1843574084963782E-2</v>
      </c>
      <c r="O9" s="2"/>
    </row>
    <row r="10" spans="1:16">
      <c r="A10" t="s">
        <v>12</v>
      </c>
      <c r="B10">
        <f>INTERCEPT(F2:F6,G2:G6)</f>
        <v>7.8220665798305316E-5</v>
      </c>
    </row>
    <row r="11" spans="1:16">
      <c r="A11" t="s">
        <v>8</v>
      </c>
      <c r="B11">
        <f>1/(B9+B10)</f>
        <v>83.879987946955396</v>
      </c>
    </row>
    <row r="12" spans="1:16">
      <c r="A12" t="s">
        <v>9</v>
      </c>
      <c r="B12">
        <f>B11/22414*1.62*10^(-19)*6.022*10^(23)</f>
        <v>365.08564540681539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Gemdale</dc:creator>
  <cp:lastModifiedBy>Personage</cp:lastModifiedBy>
  <dcterms:created xsi:type="dcterms:W3CDTF">2015-06-05T18:19:34Z</dcterms:created>
  <dcterms:modified xsi:type="dcterms:W3CDTF">2026-03-13T02:53:32Z</dcterms:modified>
</cp:coreProperties>
</file>