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bookViews>
    <workbookView xWindow="360" yWindow="396" windowWidth="21228" windowHeight="9372"/>
  </bookViews>
  <sheets>
    <sheet name="通道A2025年12月09日10时31分44秒" sheetId="1" r:id="rId1"/>
  </sheets>
  <calcPr calcId="162913"/>
</workbook>
</file>

<file path=xl/calcChain.xml><?xml version="1.0" encoding="utf-8"?>
<calcChain xmlns="http://schemas.openxmlformats.org/spreadsheetml/2006/main">
  <c r="G10" i="1" l="1"/>
  <c r="G9" i="1"/>
  <c r="F9" i="1"/>
  <c r="E9" i="1"/>
  <c r="G13" i="1"/>
  <c r="F13" i="1"/>
  <c r="C13" i="1"/>
  <c r="E19" i="1" s="1"/>
  <c r="E15" i="1" l="1"/>
  <c r="E14" i="1"/>
  <c r="E17" i="1"/>
  <c r="E18" i="1"/>
  <c r="E13" i="1"/>
  <c r="E16" i="1"/>
</calcChain>
</file>

<file path=xl/sharedStrings.xml><?xml version="1.0" encoding="utf-8"?>
<sst xmlns="http://schemas.openxmlformats.org/spreadsheetml/2006/main" count="19" uniqueCount="19">
  <si>
    <t>ID</t>
  </si>
  <si>
    <t>组份名</t>
  </si>
  <si>
    <t>保留时间(分钟)</t>
  </si>
  <si>
    <t>峰高(微伏)</t>
  </si>
  <si>
    <t>峰面积(微伏*秒)</t>
  </si>
  <si>
    <t>含量</t>
  </si>
  <si>
    <t>半峰宽(秒)</t>
  </si>
  <si>
    <t>理论塔板数</t>
  </si>
  <si>
    <t>拖尾因子</t>
  </si>
  <si>
    <t>A标</t>
    <phoneticPr fontId="1" type="noConversion"/>
  </si>
  <si>
    <t>A1</t>
    <phoneticPr fontId="1" type="noConversion"/>
  </si>
  <si>
    <t>A2</t>
  </si>
  <si>
    <t>A3</t>
  </si>
  <si>
    <t>A4</t>
  </si>
  <si>
    <t>A5</t>
  </si>
  <si>
    <t>A6</t>
  </si>
  <si>
    <t>A7</t>
  </si>
  <si>
    <t>n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</si>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</sst>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F13" sqref="F13"/>
    </sheetView>
  </sheetViews>
  <sheetFormatPr defaultRowHeight="14.4" x14ac:dyDescent="0.25"/>
  <cols>
    <col min="4" max="4" width="14.109375" customWidth="1"/>
    <col min="5" max="5" width="1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C2">
        <v>1.1333</v>
      </c>
      <c r="D2">
        <v>195</v>
      </c>
      <c r="E2">
        <v>2274.5</v>
      </c>
      <c r="F2">
        <v>0.70130000000000003</v>
      </c>
      <c r="G2">
        <v>11.66</v>
      </c>
      <c r="H2">
        <v>188.16</v>
      </c>
      <c r="I2">
        <v>1.88</v>
      </c>
    </row>
    <row r="3" spans="1:9" x14ac:dyDescent="0.25">
      <c r="A3">
        <v>2</v>
      </c>
      <c r="C3">
        <v>2.16</v>
      </c>
      <c r="D3">
        <v>2407</v>
      </c>
      <c r="E3">
        <v>22349.4</v>
      </c>
      <c r="F3">
        <v>6.8906000000000001</v>
      </c>
      <c r="G3">
        <v>9.2899999999999991</v>
      </c>
      <c r="H3">
        <v>1078.58</v>
      </c>
      <c r="I3">
        <v>3.18</v>
      </c>
    </row>
    <row r="4" spans="1:9" x14ac:dyDescent="0.25">
      <c r="A4">
        <v>3</v>
      </c>
      <c r="C4">
        <v>3.1333000000000002</v>
      </c>
      <c r="D4">
        <v>8568</v>
      </c>
      <c r="E4">
        <v>57734.7</v>
      </c>
      <c r="F4">
        <v>17.8002</v>
      </c>
      <c r="G4">
        <v>6.74</v>
      </c>
      <c r="H4">
        <v>4309.46</v>
      </c>
      <c r="I4">
        <v>2.91</v>
      </c>
    </row>
    <row r="5" spans="1:9" x14ac:dyDescent="0.25">
      <c r="A5">
        <v>4</v>
      </c>
      <c r="C5">
        <v>4.1467000000000001</v>
      </c>
      <c r="D5">
        <v>9270</v>
      </c>
      <c r="E5">
        <v>60077.2</v>
      </c>
      <c r="F5">
        <v>18.522500000000001</v>
      </c>
      <c r="G5">
        <v>6.48</v>
      </c>
      <c r="H5">
        <v>8159.49</v>
      </c>
      <c r="I5">
        <v>2.21</v>
      </c>
    </row>
    <row r="6" spans="1:9" x14ac:dyDescent="0.25">
      <c r="A6">
        <v>5</v>
      </c>
      <c r="C6">
        <v>5.1467000000000001</v>
      </c>
      <c r="D6">
        <v>9408</v>
      </c>
      <c r="E6">
        <v>60583.6</v>
      </c>
      <c r="F6">
        <v>18.678599999999999</v>
      </c>
      <c r="G6">
        <v>6.44</v>
      </c>
      <c r="H6">
        <v>12730.98</v>
      </c>
      <c r="I6">
        <v>2.63</v>
      </c>
    </row>
    <row r="7" spans="1:9" x14ac:dyDescent="0.25">
      <c r="A7">
        <v>6</v>
      </c>
      <c r="C7">
        <v>6.1467000000000001</v>
      </c>
      <c r="D7">
        <v>9747</v>
      </c>
      <c r="E7">
        <v>60622</v>
      </c>
      <c r="F7">
        <v>18.6904</v>
      </c>
      <c r="G7">
        <v>6.22</v>
      </c>
      <c r="H7">
        <v>19466.37</v>
      </c>
      <c r="I7">
        <v>2.3199999999999998</v>
      </c>
    </row>
    <row r="8" spans="1:9" x14ac:dyDescent="0.25">
      <c r="A8">
        <v>7</v>
      </c>
      <c r="C8">
        <v>7.1467000000000001</v>
      </c>
      <c r="D8">
        <v>9843</v>
      </c>
      <c r="E8">
        <v>60706.5</v>
      </c>
      <c r="F8">
        <v>18.7165</v>
      </c>
      <c r="G8">
        <v>6.17</v>
      </c>
      <c r="H8">
        <v>26761.84</v>
      </c>
      <c r="I8">
        <v>2.33</v>
      </c>
    </row>
    <row r="9" spans="1:9" x14ac:dyDescent="0.25">
      <c r="E9">
        <f>SUM(E2:E8)</f>
        <v>324347.90000000002</v>
      </c>
      <c r="F9">
        <f>7*60500</f>
        <v>423500</v>
      </c>
      <c r="G9">
        <f>F9-E9</f>
        <v>99152.099999999977</v>
      </c>
    </row>
    <row r="10" spans="1:9" x14ac:dyDescent="0.25">
      <c r="G10">
        <f>G9/60500</f>
        <v>1.6388776859504128</v>
      </c>
    </row>
    <row r="12" spans="1:9" x14ac:dyDescent="0.25">
      <c r="C12" t="s">
        <v>9</v>
      </c>
      <c r="F12" t="s">
        <v>17</v>
      </c>
      <c r="G12" t="s">
        <v>18</v>
      </c>
    </row>
    <row r="13" spans="1:9" x14ac:dyDescent="0.25">
      <c r="C13">
        <f>AVERAGE(E6:E8)</f>
        <v>60637.366666666669</v>
      </c>
      <c r="D13" t="s">
        <v>10</v>
      </c>
      <c r="E13">
        <f>$C$13-E2</f>
        <v>58362.866666666669</v>
      </c>
      <c r="F13">
        <f>SUM(E13:E19)/C13</f>
        <v>1.6510226642427857</v>
      </c>
      <c r="G13">
        <f>F13*1.06*0.051*0.001/0.08206/296.05/0.15/0.03*58.69</f>
        <v>4.7916390334537082E-2</v>
      </c>
    </row>
    <row r="14" spans="1:9" x14ac:dyDescent="0.25">
      <c r="D14" t="s">
        <v>11</v>
      </c>
      <c r="E14">
        <f>$C$13-E3</f>
        <v>38287.966666666667</v>
      </c>
    </row>
    <row r="15" spans="1:9" x14ac:dyDescent="0.25">
      <c r="D15" t="s">
        <v>12</v>
      </c>
      <c r="E15">
        <f>$C$13-E4</f>
        <v>2902.6666666666715</v>
      </c>
    </row>
    <row r="16" spans="1:9" x14ac:dyDescent="0.25">
      <c r="D16" t="s">
        <v>13</v>
      </c>
      <c r="E16">
        <f>$C$13-E5</f>
        <v>560.16666666667152</v>
      </c>
    </row>
    <row r="17" spans="4:5" x14ac:dyDescent="0.25">
      <c r="D17" t="s">
        <v>14</v>
      </c>
      <c r="E17">
        <f>$C$13-E6</f>
        <v>53.766666666670062</v>
      </c>
    </row>
    <row r="18" spans="4:5" x14ac:dyDescent="0.25">
      <c r="D18" t="s">
        <v>15</v>
      </c>
      <c r="E18">
        <f>$C$13-E7</f>
        <v>15.366666666668607</v>
      </c>
    </row>
    <row r="19" spans="4:5" x14ac:dyDescent="0.25">
      <c r="D19" t="s">
        <v>16</v>
      </c>
      <c r="E19">
        <f>$C$13-E8</f>
        <v>-69.133333333331393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通道A2025年12月09日10时31分44秒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ThinkPad</cp:lastModifiedBy>
  <dcterms:created xsi:type="dcterms:W3CDTF">2025-12-09T02:41:53Z</dcterms:created>
  <dcterms:modified xsi:type="dcterms:W3CDTF">2026-03-06T08:38:39Z</dcterms:modified>
</cp:coreProperties>
</file>