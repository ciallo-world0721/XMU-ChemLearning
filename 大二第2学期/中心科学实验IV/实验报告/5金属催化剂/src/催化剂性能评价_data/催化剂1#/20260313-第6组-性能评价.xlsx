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7440" yWindow="90" windowWidth="19200" windowHeight="116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R9" i="1" l="1"/>
  <c r="R10" i="1"/>
  <c r="R5" i="1" l="1"/>
  <c r="K4" i="1" l="1"/>
  <c r="N10" i="1" l="1"/>
  <c r="J10" i="1"/>
  <c r="K10" i="1"/>
  <c r="L10" i="1"/>
  <c r="M10" i="1"/>
  <c r="R17" i="1"/>
  <c r="N17" i="1"/>
  <c r="M17" i="1"/>
  <c r="K17" i="1"/>
  <c r="J17" i="1"/>
  <c r="L17" i="1"/>
  <c r="L4" i="1" l="1"/>
  <c r="R7" i="1" l="1"/>
  <c r="A6" i="2" l="1"/>
  <c r="N9" i="1" l="1"/>
  <c r="L11" i="1"/>
  <c r="L12" i="1"/>
  <c r="L13" i="1"/>
  <c r="L14" i="1"/>
  <c r="L15" i="1"/>
  <c r="L16" i="1"/>
  <c r="J12" i="1" l="1"/>
  <c r="J13" i="1"/>
  <c r="J14" i="1"/>
  <c r="J15" i="1"/>
  <c r="J16" i="1"/>
  <c r="J11" i="1"/>
  <c r="J4" i="1"/>
  <c r="J5" i="1"/>
  <c r="J6" i="1"/>
  <c r="J7" i="1"/>
  <c r="J8" i="1"/>
  <c r="J9" i="1"/>
  <c r="N5" i="1" l="1"/>
  <c r="N6" i="1"/>
  <c r="N7" i="1"/>
  <c r="N8" i="1"/>
  <c r="N4" i="1"/>
  <c r="M9" i="1"/>
  <c r="M8" i="1"/>
  <c r="M7" i="1"/>
  <c r="M6" i="1"/>
  <c r="M5" i="1"/>
  <c r="M4" i="1"/>
  <c r="L5" i="1"/>
  <c r="L6" i="1"/>
  <c r="L7" i="1"/>
  <c r="L8" i="1"/>
  <c r="L9" i="1"/>
  <c r="K5" i="1"/>
  <c r="K6" i="1"/>
  <c r="K7" i="1"/>
  <c r="K8" i="1"/>
  <c r="K9" i="1"/>
  <c r="M12" i="1" l="1"/>
  <c r="M13" i="1"/>
  <c r="M14" i="1"/>
  <c r="M15" i="1"/>
  <c r="M16" i="1"/>
  <c r="M11" i="1"/>
  <c r="K12" i="1"/>
  <c r="K13" i="1"/>
  <c r="K14" i="1"/>
  <c r="K15" i="1"/>
  <c r="K16" i="1"/>
  <c r="K11" i="1"/>
  <c r="R6" i="1" l="1"/>
  <c r="R8" i="1"/>
  <c r="R11" i="1"/>
  <c r="R12" i="1"/>
  <c r="R13" i="1"/>
  <c r="R14" i="1"/>
  <c r="R15" i="1"/>
  <c r="R16" i="1"/>
  <c r="N11" i="1" l="1"/>
  <c r="N12" i="1"/>
  <c r="N13" i="1"/>
  <c r="N14" i="1"/>
  <c r="N15" i="1"/>
  <c r="N16" i="1"/>
</calcChain>
</file>

<file path=xl/sharedStrings.xml><?xml version="1.0" encoding="utf-8"?>
<sst xmlns="http://schemas.openxmlformats.org/spreadsheetml/2006/main" count="27" uniqueCount="24">
  <si>
    <t>CO</t>
  </si>
  <si>
    <t>Conv.</t>
  </si>
  <si>
    <t>Sel. CO</t>
  </si>
  <si>
    <t>TCD</t>
    <phoneticPr fontId="1" type="noConversion"/>
  </si>
  <si>
    <t xml:space="preserve">FID </t>
    <phoneticPr fontId="1" type="noConversion"/>
  </si>
  <si>
    <t>原料气</t>
    <phoneticPr fontId="1" type="noConversion"/>
  </si>
  <si>
    <r>
      <t>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</si>
  <si>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phoneticPr fontId="1" type="noConversion"/>
  </si>
  <si>
    <r>
      <t>CH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>/O</t>
    </r>
    <r>
      <rPr>
        <vertAlign val="subscript"/>
        <sz val="14"/>
        <color theme="1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</si>
  <si>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</si>
  <si>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</si>
  <si>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t>CH</t>
    </r>
    <r>
      <rPr>
        <vertAlign val="subscript"/>
        <sz val="14"/>
        <color indexed="8"/>
        <rFont val="Times New Roman"/>
        <family val="1"/>
      </rPr>
      <t>4</t>
    </r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</si>
  <si>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</si>
  <si>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H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</si>
  <si>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Sel. 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</si>
  <si>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H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/CO</t>
    </r>
    <phoneticPr fontId="1" type="noConversion"/>
  </si>
  <si>
    <t>旧（校正因子）</t>
    <phoneticPr fontId="1" type="noConversion"/>
  </si>
  <si>
    <t>新（校正因子）</t>
    <phoneticPr fontId="1" type="noConversion"/>
  </si>
  <si>
    <t>--</t>
    <phoneticPr fontId="1" type="noConversion"/>
  </si>
  <si>
    <t>时间</t>
    <phoneticPr fontId="1" type="noConversion"/>
  </si>
  <si>
    <t>(G14+I14)*100/(G14+I14+H14)</t>
    <phoneticPr fontId="1" type="noConversion"/>
  </si>
  <si>
    <r>
      <t>CO</t>
    </r>
    <r>
      <rPr>
        <vertAlign val="subscript"/>
        <sz val="14"/>
        <color indexed="8"/>
        <rFont val="Times New Roman"/>
        <family val="1"/>
      </rPr>
      <t>2</t>
    </r>
    <phoneticPr fontId="1" type="noConversion"/>
  </si>
  <si>
    <r>
      <t>O</t>
    </r>
    <r>
      <rPr>
        <vertAlign val="subscript"/>
        <sz val="14"/>
        <color indexed="8"/>
        <rFont val="Times New Roman"/>
        <family val="1"/>
      </rPr>
      <t>2</t>
    </r>
    <r>
      <rPr>
        <sz val="14"/>
        <color indexed="8"/>
        <rFont val="Times New Roman"/>
        <family val="1"/>
      </rPr>
      <t>/N</t>
    </r>
    <r>
      <rPr>
        <vertAlign val="subscript"/>
        <sz val="14"/>
        <color indexed="8"/>
        <rFont val="Times New Roman"/>
        <family val="1"/>
      </rPr>
      <t>2</t>
    </r>
    <phoneticPr fontId="2" type="noConversion"/>
  </si>
  <si>
    <r>
      <rPr>
        <b/>
        <sz val="14"/>
        <color rgb="FFFF0000"/>
        <rFont val="宋体"/>
        <family val="3"/>
        <charset val="134"/>
        <scheme val="minor"/>
      </rPr>
      <t>姓名：</t>
    </r>
    <r>
      <rPr>
        <b/>
        <sz val="14"/>
        <rFont val="宋体"/>
        <family val="3"/>
        <charset val="134"/>
        <scheme val="minor"/>
      </rPr>
      <t xml:space="preserve"> </t>
    </r>
    <r>
      <rPr>
        <sz val="14"/>
        <rFont val="宋体"/>
        <family val="3"/>
        <charset val="134"/>
        <scheme val="minor"/>
      </rPr>
      <t xml:space="preserve"> sxb-chr    </t>
    </r>
    <r>
      <rPr>
        <b/>
        <sz val="14"/>
        <color rgb="FFFF0000"/>
        <rFont val="宋体"/>
        <family val="3"/>
        <charset val="134"/>
        <scheme val="minor"/>
      </rPr>
      <t>催化剂：</t>
    </r>
    <r>
      <rPr>
        <sz val="14"/>
        <rFont val="宋体"/>
        <family val="3"/>
        <charset val="134"/>
        <scheme val="minor"/>
      </rPr>
      <t xml:space="preserve"> 3.0%wtNi/1# SiO2 无氨  CH4:O2:Ar=2:1:45 流速=50ml/min  催化剂600℃       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</si>
</sst>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4"/>
      <color indexed="8"/>
      <name val="Times New Roman"/>
      <family val="1"/>
    </font>
    <font>
      <vertAlign val="subscript"/>
      <sz val="14"/>
      <color indexed="8"/>
      <name val="Times New Roman"/>
      <family val="1"/>
    </font>
    <font>
      <sz val="14"/>
      <color theme="1"/>
      <name val="宋体"/>
      <family val="2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  <scheme val="minor"/>
    </font>
    <font>
      <vertAlign val="subscript"/>
      <sz val="14"/>
      <color theme="1"/>
      <name val="Times New Roman"/>
      <family val="1"/>
    </font>
    <font>
      <b/>
      <sz val="14"/>
      <color rgb="FFFF000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sz val="14"/>
      <color rgb="FF3F3F3F"/>
      <name val="Times New Roman"/>
      <family val="1"/>
    </font>
    <font>
      <sz val="14"/>
      <color theme="1"/>
      <name val="宋体"/>
      <family val="3"/>
      <charset val="134"/>
    </font>
    <font>
      <sz val="14"/>
      <color rgb="FFFF0000"/>
      <name val="Times New Roman"/>
      <family val="1"/>
    </font>
    <font>
      <sz val="14"/>
      <color theme="1"/>
      <name val="宋体"/>
      <family val="1"/>
      <charset val="134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F579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>
      <alignment vertical="center"/>
    </xf>
    <xf numFmtId="0" fontId="12" fillId="8" borderId="6" applyNumberFormat="0" applyAlignment="0" applyProtection="0">
      <alignment vertical="center"/>
    </xf>
  </cellStyleXfs>
  <cellXfs count="3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1" fontId="13" fillId="8" borderId="6" xfId="1" applyNumberFormat="1" applyFont="1">
      <alignment vertical="center"/>
    </xf>
    <xf numFmtId="0" fontId="13" fillId="8" borderId="6" xfId="1" applyFont="1">
      <alignment vertical="center"/>
    </xf>
    <xf numFmtId="0" fontId="13" fillId="8" borderId="6" xfId="1" quotePrefix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/>
    </xf>
    <xf numFmtId="176" fontId="6" fillId="3" borderId="1" xfId="0" applyNumberFormat="1" applyFont="1" applyFill="1" applyBorder="1">
      <alignment vertical="center"/>
    </xf>
    <xf numFmtId="176" fontId="6" fillId="4" borderId="1" xfId="0" applyNumberFormat="1" applyFont="1" applyFill="1" applyBorder="1">
      <alignment vertical="center"/>
    </xf>
    <xf numFmtId="176" fontId="5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15" fillId="6" borderId="1" xfId="0" applyFont="1" applyFill="1" applyBorder="1">
      <alignment vertical="center"/>
    </xf>
    <xf numFmtId="0" fontId="15" fillId="6" borderId="1" xfId="0" applyNumberFormat="1" applyFont="1" applyFill="1" applyBorder="1">
      <alignment vertical="center"/>
    </xf>
    <xf numFmtId="0" fontId="1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9" defaultPivotStyle="PivotStyleLight16"/>
  <colors>
    <mruColors>
      <color rgb="FFE9F579"/>
      <color rgb="FFD1D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tabSelected="1" topLeftCell="D1" workbookViewId="0">
      <selection activeCell="J14" sqref="J14"/>
    </sheetView>
  </sheetViews>
  <sheetFormatPr defaultRowHeight="13.5" x14ac:dyDescent="0.15"/>
  <cols>
    <col min="4" max="4" width="11.875" customWidth="1"/>
    <col min="5" max="5" width="12" bestFit="1" customWidth="1"/>
    <col min="6" max="6" width="9.625" bestFit="1" customWidth="1"/>
    <col min="7" max="7" width="13.25" bestFit="1" customWidth="1"/>
    <col min="8" max="8" width="12.625" customWidth="1"/>
    <col min="9" max="9" width="11.875" customWidth="1"/>
    <col min="10" max="10" width="10.5" style="18" customWidth="1"/>
    <col min="11" max="11" width="10" style="18" customWidth="1"/>
    <col min="12" max="12" width="11.125" style="18" customWidth="1"/>
    <col min="13" max="13" width="13.125" style="18" customWidth="1"/>
    <col min="14" max="14" width="10" style="18" customWidth="1"/>
    <col min="15" max="15" width="1.375" customWidth="1"/>
    <col min="16" max="16" width="12.375" bestFit="1" customWidth="1"/>
    <col min="17" max="17" width="10.75" bestFit="1" customWidth="1"/>
    <col min="18" max="18" width="11.5" bestFit="1" customWidth="1"/>
    <col min="22" max="22" width="12" customWidth="1"/>
    <col min="23" max="23" width="15.125" bestFit="1" customWidth="1"/>
    <col min="24" max="24" width="11.875" customWidth="1"/>
    <col min="25" max="25" width="13.5" customWidth="1"/>
    <col min="26" max="26" width="15.125" bestFit="1" customWidth="1"/>
  </cols>
  <sheetData>
    <row r="1" spans="1:26" x14ac:dyDescent="0.15">
      <c r="B1" s="26" t="s">
        <v>23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26" ht="22.5" customHeight="1" x14ac:dyDescent="0.3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V2" s="4" t="s">
        <v>9</v>
      </c>
      <c r="W2" s="4" t="s">
        <v>10</v>
      </c>
      <c r="X2" s="4" t="s">
        <v>0</v>
      </c>
      <c r="Y2" s="4" t="s">
        <v>11</v>
      </c>
      <c r="Z2" s="4" t="s">
        <v>12</v>
      </c>
    </row>
    <row r="3" spans="1:26" s="1" customFormat="1" ht="20.25" x14ac:dyDescent="0.35">
      <c r="A3" s="2"/>
      <c r="B3" s="3"/>
      <c r="C3" s="3"/>
      <c r="D3" s="13" t="s">
        <v>19</v>
      </c>
      <c r="E3" s="4" t="s">
        <v>9</v>
      </c>
      <c r="F3" s="4" t="s">
        <v>22</v>
      </c>
      <c r="G3" s="4" t="s">
        <v>0</v>
      </c>
      <c r="H3" s="4" t="s">
        <v>11</v>
      </c>
      <c r="I3" s="4" t="s">
        <v>21</v>
      </c>
      <c r="J3" s="14" t="s">
        <v>1</v>
      </c>
      <c r="K3" s="14" t="s">
        <v>2</v>
      </c>
      <c r="L3" s="14" t="s">
        <v>13</v>
      </c>
      <c r="M3" s="14" t="s">
        <v>14</v>
      </c>
      <c r="N3" s="14" t="s">
        <v>15</v>
      </c>
      <c r="P3" s="28" t="s">
        <v>5</v>
      </c>
      <c r="Q3" s="28"/>
      <c r="R3" s="28"/>
      <c r="T3" s="24" t="s">
        <v>16</v>
      </c>
      <c r="U3" s="24"/>
      <c r="V3" s="10">
        <v>1.9470311870118901E-6</v>
      </c>
      <c r="W3" s="12" t="s">
        <v>18</v>
      </c>
      <c r="X3" s="11">
        <v>2.63998502831533E-5</v>
      </c>
      <c r="Y3" s="10">
        <v>7.9137021824818192E-6</v>
      </c>
      <c r="Z3" s="11">
        <v>2.9018864555381102E-5</v>
      </c>
    </row>
    <row r="4" spans="1:26" s="1" customFormat="1" ht="20.25" x14ac:dyDescent="0.15">
      <c r="A4" s="2"/>
      <c r="B4" s="29" t="s">
        <v>3</v>
      </c>
      <c r="C4" s="29">
        <v>600</v>
      </c>
      <c r="D4" s="9">
        <v>5</v>
      </c>
      <c r="E4" s="5">
        <v>674831</v>
      </c>
      <c r="F4" s="5">
        <v>7109.5</v>
      </c>
      <c r="G4" s="5">
        <v>23108.2</v>
      </c>
      <c r="H4" s="5">
        <v>15163.6</v>
      </c>
      <c r="I4" s="5">
        <v>3923.4</v>
      </c>
      <c r="J4" s="15">
        <f>(G4*X4+I4*Z4)*100/(G4*X4+I4*Z4+H4*Y4)</f>
        <v>84.749199424304493</v>
      </c>
      <c r="K4" s="15">
        <f>G4*X4*100/(G4*X4+I4*Z4)</f>
        <v>83.531912813875181</v>
      </c>
      <c r="L4" s="15">
        <f>E4*V4*100*0.5/(G4*X4+I4*Z4)</f>
        <v>90.606409828173071</v>
      </c>
      <c r="M4" s="15">
        <f>I4*Z4*100/(G4*X4+I4*Z4)</f>
        <v>16.46808718612483</v>
      </c>
      <c r="N4" s="15">
        <f>E4*V4/(G4*X4)</f>
        <v>2.1693842934031982</v>
      </c>
      <c r="P4" s="3" t="s">
        <v>6</v>
      </c>
      <c r="Q4" s="3" t="s">
        <v>7</v>
      </c>
      <c r="R4" s="3" t="s">
        <v>8</v>
      </c>
      <c r="T4" s="24" t="s">
        <v>17</v>
      </c>
      <c r="U4" s="24"/>
      <c r="V4" s="11">
        <v>2.8990536474226036E-8</v>
      </c>
      <c r="W4" s="11">
        <v>2.8569747037745774E-7</v>
      </c>
      <c r="X4" s="10">
        <v>3.9025517224692499E-7</v>
      </c>
      <c r="Y4" s="11">
        <v>1.2812004335582267E-7</v>
      </c>
      <c r="Z4" s="10">
        <v>4.5315098537681799E-7</v>
      </c>
    </row>
    <row r="5" spans="1:26" s="1" customFormat="1" ht="18.75" x14ac:dyDescent="0.15">
      <c r="A5" s="2"/>
      <c r="B5" s="30"/>
      <c r="C5" s="30"/>
      <c r="D5" s="9">
        <v>16</v>
      </c>
      <c r="E5" s="5">
        <v>642089.4</v>
      </c>
      <c r="F5" s="5">
        <v>7126</v>
      </c>
      <c r="G5" s="5">
        <v>21519.599999999999</v>
      </c>
      <c r="H5" s="5">
        <v>22154.2</v>
      </c>
      <c r="I5" s="5">
        <v>3503.8</v>
      </c>
      <c r="J5" s="15">
        <f t="shared" ref="J5:J10" si="0">(G5*X5+I5*Z5)*100/(G5*X5+I5*Z5+H5*Y5)</f>
        <v>77.867011101237424</v>
      </c>
      <c r="K5" s="15">
        <f t="shared" ref="K5:K10" si="1">G5*X5*100/(G5*X5+I5*Z5)</f>
        <v>84.100053997906372</v>
      </c>
      <c r="L5" s="15">
        <f t="shared" ref="L5:L17" si="2">E5*V5*100*0.5/(G5*X5+I5*Z5)</f>
        <v>93.20413263907696</v>
      </c>
      <c r="M5" s="15">
        <f t="shared" ref="M5:M10" si="3">I5*Z5*100/(G5*X5+I5*Z5)</f>
        <v>15.899946002093618</v>
      </c>
      <c r="N5" s="15">
        <f t="shared" ref="N5:N8" si="4">E5*V5/(G5*X5)</f>
        <v>2.2165058928831893</v>
      </c>
      <c r="P5" s="19">
        <v>26094.7</v>
      </c>
      <c r="Q5" s="19">
        <v>104806</v>
      </c>
      <c r="R5" s="7">
        <f>(Q5/2.58)/(P5/1.196)</f>
        <v>1.8618526682316878</v>
      </c>
      <c r="V5" s="11">
        <v>2.8990536474226036E-8</v>
      </c>
      <c r="W5" s="11">
        <v>2.8569747037745774E-7</v>
      </c>
      <c r="X5" s="10">
        <v>3.9025517224692499E-7</v>
      </c>
      <c r="Y5" s="11">
        <v>1.2812004335582267E-7</v>
      </c>
      <c r="Z5" s="10">
        <v>4.5315098537681799E-7</v>
      </c>
    </row>
    <row r="6" spans="1:26" s="1" customFormat="1" ht="18.75" x14ac:dyDescent="0.15">
      <c r="A6" s="2"/>
      <c r="B6" s="30"/>
      <c r="C6" s="30"/>
      <c r="D6" s="9">
        <v>27</v>
      </c>
      <c r="E6" s="5">
        <v>627770.9</v>
      </c>
      <c r="F6" s="5">
        <v>8064.4</v>
      </c>
      <c r="G6" s="5">
        <v>21046.2</v>
      </c>
      <c r="H6" s="5">
        <v>22119.200000000001</v>
      </c>
      <c r="I6" s="5">
        <v>3991.4</v>
      </c>
      <c r="J6" s="15">
        <f t="shared" si="0"/>
        <v>77.956509996964797</v>
      </c>
      <c r="K6" s="15">
        <f t="shared" si="1"/>
        <v>81.952807291651979</v>
      </c>
      <c r="L6" s="15">
        <f t="shared" si="2"/>
        <v>90.796458831318489</v>
      </c>
      <c r="M6" s="15">
        <f t="shared" si="3"/>
        <v>18.047192708348014</v>
      </c>
      <c r="N6" s="15">
        <f t="shared" si="4"/>
        <v>2.2158230286900094</v>
      </c>
      <c r="P6" s="20">
        <v>23455</v>
      </c>
      <c r="Q6" s="19">
        <v>102673</v>
      </c>
      <c r="R6" s="7">
        <f t="shared" ref="R6:R17" si="5">(Q6/2.58)/(P6/1.196)</f>
        <v>2.0292347378040416</v>
      </c>
      <c r="V6" s="11">
        <v>2.8990536474226036E-8</v>
      </c>
      <c r="W6" s="11">
        <v>2.8569747037745774E-7</v>
      </c>
      <c r="X6" s="10">
        <v>3.9025517224692499E-7</v>
      </c>
      <c r="Y6" s="11">
        <v>1.2812004335582267E-7</v>
      </c>
      <c r="Z6" s="10">
        <v>4.5315098537681799E-7</v>
      </c>
    </row>
    <row r="7" spans="1:26" s="1" customFormat="1" ht="18.75" x14ac:dyDescent="0.15">
      <c r="A7" s="2"/>
      <c r="B7" s="30"/>
      <c r="C7" s="30"/>
      <c r="D7" s="9">
        <v>38</v>
      </c>
      <c r="E7" s="5">
        <v>609646.9</v>
      </c>
      <c r="F7" s="5">
        <v>8070.2</v>
      </c>
      <c r="G7" s="5">
        <v>20872</v>
      </c>
      <c r="H7" s="5">
        <v>26004.799999999999</v>
      </c>
      <c r="I7" s="5">
        <v>5542.4</v>
      </c>
      <c r="J7" s="15">
        <f t="shared" si="0"/>
        <v>76.182637279744739</v>
      </c>
      <c r="K7" s="15">
        <f t="shared" si="1"/>
        <v>76.432806507555597</v>
      </c>
      <c r="L7" s="15">
        <f t="shared" si="2"/>
        <v>82.922368641301873</v>
      </c>
      <c r="M7" s="15">
        <f t="shared" si="3"/>
        <v>23.5671934924444</v>
      </c>
      <c r="N7" s="15">
        <f t="shared" si="4"/>
        <v>2.1698109079143855</v>
      </c>
      <c r="P7" s="7">
        <v>23307.8</v>
      </c>
      <c r="Q7" s="7">
        <v>105303.8</v>
      </c>
      <c r="R7" s="7">
        <f t="shared" si="5"/>
        <v>2.0943739830649233</v>
      </c>
      <c r="V7" s="11">
        <v>2.8990536474226036E-8</v>
      </c>
      <c r="W7" s="11">
        <v>2.8569747037745774E-7</v>
      </c>
      <c r="X7" s="10">
        <v>3.9025517224692499E-7</v>
      </c>
      <c r="Y7" s="11">
        <v>1.2812004335582267E-7</v>
      </c>
      <c r="Z7" s="10">
        <v>4.5315098537681799E-7</v>
      </c>
    </row>
    <row r="8" spans="1:26" s="1" customFormat="1" ht="18.75" x14ac:dyDescent="0.15">
      <c r="A8" s="2"/>
      <c r="B8" s="30"/>
      <c r="C8" s="30"/>
      <c r="D8" s="21"/>
      <c r="E8" s="5"/>
      <c r="F8" s="5"/>
      <c r="G8" s="5"/>
      <c r="H8" s="5"/>
      <c r="I8" s="5"/>
      <c r="J8" s="15" t="e">
        <f t="shared" si="0"/>
        <v>#DIV/0!</v>
      </c>
      <c r="K8" s="15" t="e">
        <f t="shared" si="1"/>
        <v>#DIV/0!</v>
      </c>
      <c r="L8" s="15" t="e">
        <f t="shared" si="2"/>
        <v>#DIV/0!</v>
      </c>
      <c r="M8" s="15" t="e">
        <f t="shared" si="3"/>
        <v>#DIV/0!</v>
      </c>
      <c r="N8" s="15" t="e">
        <f t="shared" si="4"/>
        <v>#DIV/0!</v>
      </c>
      <c r="P8" s="7">
        <v>23656.6</v>
      </c>
      <c r="Q8" s="7">
        <v>107021.6</v>
      </c>
      <c r="R8" s="7">
        <f t="shared" si="5"/>
        <v>2.0971552721377003</v>
      </c>
      <c r="V8" s="11">
        <v>2.8990536474226036E-8</v>
      </c>
      <c r="W8" s="11">
        <v>2.8569747037745774E-7</v>
      </c>
      <c r="X8" s="10">
        <v>3.9025517224692499E-7</v>
      </c>
      <c r="Y8" s="11">
        <v>1.2812004335582267E-7</v>
      </c>
      <c r="Z8" s="10">
        <v>4.5315098537681799E-7</v>
      </c>
    </row>
    <row r="9" spans="1:26" s="1" customFormat="1" ht="18.75" x14ac:dyDescent="0.15">
      <c r="A9" s="2"/>
      <c r="B9" s="30"/>
      <c r="C9" s="30"/>
      <c r="D9" s="9"/>
      <c r="E9" s="5"/>
      <c r="F9" s="5"/>
      <c r="G9" s="5"/>
      <c r="H9" s="5"/>
      <c r="I9" s="5"/>
      <c r="J9" s="15" t="e">
        <f t="shared" si="0"/>
        <v>#DIV/0!</v>
      </c>
      <c r="K9" s="15" t="e">
        <f t="shared" si="1"/>
        <v>#DIV/0!</v>
      </c>
      <c r="L9" s="15" t="e">
        <f t="shared" si="2"/>
        <v>#DIV/0!</v>
      </c>
      <c r="M9" s="15" t="e">
        <f t="shared" si="3"/>
        <v>#DIV/0!</v>
      </c>
      <c r="N9" s="15" t="e">
        <f>E9*V9/(G9*X9)</f>
        <v>#DIV/0!</v>
      </c>
      <c r="P9" s="7">
        <v>24521</v>
      </c>
      <c r="Q9" s="7">
        <v>109296.4</v>
      </c>
      <c r="R9" s="7">
        <f t="shared" si="5"/>
        <v>2.0662323355807346</v>
      </c>
      <c r="V9" s="11">
        <v>2.8990536474226036E-8</v>
      </c>
      <c r="W9" s="11">
        <v>2.8569747037745774E-7</v>
      </c>
      <c r="X9" s="10">
        <v>3.9025517224692499E-7</v>
      </c>
      <c r="Y9" s="11">
        <v>1.2812004335582267E-7</v>
      </c>
      <c r="Z9" s="10">
        <v>4.5315098537681799E-7</v>
      </c>
    </row>
    <row r="10" spans="1:26" s="1" customFormat="1" ht="18.75" x14ac:dyDescent="0.15">
      <c r="A10" s="2"/>
      <c r="B10" s="30"/>
      <c r="C10" s="31"/>
      <c r="D10" s="23"/>
      <c r="E10" s="5"/>
      <c r="F10" s="5"/>
      <c r="G10" s="5"/>
      <c r="H10" s="5"/>
      <c r="I10" s="5"/>
      <c r="J10" s="15" t="e">
        <f t="shared" si="0"/>
        <v>#DIV/0!</v>
      </c>
      <c r="K10" s="15" t="e">
        <f t="shared" si="1"/>
        <v>#DIV/0!</v>
      </c>
      <c r="L10" s="15" t="e">
        <f t="shared" si="2"/>
        <v>#DIV/0!</v>
      </c>
      <c r="M10" s="15" t="e">
        <f t="shared" si="3"/>
        <v>#DIV/0!</v>
      </c>
      <c r="N10" s="15" t="e">
        <f>E10*V10/(G10*X10)</f>
        <v>#DIV/0!</v>
      </c>
      <c r="P10" s="7">
        <v>24354.400000000001</v>
      </c>
      <c r="Q10" s="7">
        <v>108113</v>
      </c>
      <c r="R10" s="7">
        <f t="shared" si="5"/>
        <v>2.0578416723387227</v>
      </c>
      <c r="V10" s="11">
        <v>2.8990536474226036E-8</v>
      </c>
      <c r="W10" s="11">
        <v>2.8569747037745774E-7</v>
      </c>
      <c r="X10" s="10">
        <v>3.9025517224692499E-7</v>
      </c>
      <c r="Y10" s="11">
        <v>1.2812004335582267E-7</v>
      </c>
      <c r="Z10" s="10">
        <v>4.5315098537681799E-7</v>
      </c>
    </row>
    <row r="11" spans="1:26" s="1" customFormat="1" ht="18.75" x14ac:dyDescent="0.15">
      <c r="A11" s="2"/>
      <c r="B11" s="25" t="s">
        <v>4</v>
      </c>
      <c r="C11" s="32">
        <v>600</v>
      </c>
      <c r="D11" s="8">
        <v>5</v>
      </c>
      <c r="E11" s="6"/>
      <c r="F11" s="6"/>
      <c r="G11" s="6">
        <v>394653.7</v>
      </c>
      <c r="H11" s="6">
        <v>105484.9</v>
      </c>
      <c r="I11" s="6">
        <v>47325.3</v>
      </c>
      <c r="J11" s="16">
        <f>(G11+I11)*100/(G11+I11+H11)</f>
        <v>80.732081147268332</v>
      </c>
      <c r="K11" s="16">
        <f>G11*100/(G11+I11)</f>
        <v>89.292409820376079</v>
      </c>
      <c r="L11" s="15" t="e">
        <f t="shared" si="2"/>
        <v>#DIV/0!</v>
      </c>
      <c r="M11" s="16">
        <f>I11*100/(G11+I11)</f>
        <v>10.707590179623919</v>
      </c>
      <c r="N11" s="16">
        <f t="shared" ref="N11:N17" si="6">E11*1.94703118701189E-06/(G11*0.0000263998502831533)</f>
        <v>0</v>
      </c>
      <c r="P11" s="7"/>
      <c r="Q11" s="7"/>
      <c r="R11" s="7" t="e">
        <f t="shared" si="5"/>
        <v>#DIV/0!</v>
      </c>
    </row>
    <row r="12" spans="1:26" s="1" customFormat="1" ht="18.75" x14ac:dyDescent="0.15">
      <c r="A12" s="2"/>
      <c r="B12" s="25"/>
      <c r="C12" s="33"/>
      <c r="D12" s="8">
        <v>16</v>
      </c>
      <c r="E12" s="6"/>
      <c r="F12" s="6"/>
      <c r="G12" s="6">
        <v>372229.7</v>
      </c>
      <c r="H12" s="6">
        <v>123071.2</v>
      </c>
      <c r="I12" s="6">
        <v>67875.199999999997</v>
      </c>
      <c r="J12" s="16">
        <f t="shared" ref="J12:J17" si="7">(G12+I12)*100/(G12+I12+H12)</f>
        <v>78.146941960072525</v>
      </c>
      <c r="K12" s="16">
        <f t="shared" ref="K12:K17" si="8">G12*100/(G12+I12)</f>
        <v>84.577495047203513</v>
      </c>
      <c r="L12" s="15" t="e">
        <f t="shared" si="2"/>
        <v>#DIV/0!</v>
      </c>
      <c r="M12" s="16">
        <f t="shared" ref="M12:M17" si="9">I12*100/(G12+I12)</f>
        <v>15.42250495279648</v>
      </c>
      <c r="N12" s="16">
        <f t="shared" si="6"/>
        <v>0</v>
      </c>
      <c r="P12" s="7"/>
      <c r="Q12" s="7"/>
      <c r="R12" s="7" t="e">
        <f t="shared" si="5"/>
        <v>#DIV/0!</v>
      </c>
    </row>
    <row r="13" spans="1:26" s="1" customFormat="1" ht="18.75" x14ac:dyDescent="0.15">
      <c r="A13" s="2"/>
      <c r="B13" s="25"/>
      <c r="C13" s="33"/>
      <c r="D13" s="8">
        <v>27</v>
      </c>
      <c r="E13" s="6"/>
      <c r="F13" s="6"/>
      <c r="G13" s="6">
        <v>361154</v>
      </c>
      <c r="H13" s="6">
        <v>133113.5</v>
      </c>
      <c r="I13" s="6">
        <v>72925.7</v>
      </c>
      <c r="J13" s="16">
        <f t="shared" si="7"/>
        <v>76.531189019896573</v>
      </c>
      <c r="K13" s="16">
        <f t="shared" si="8"/>
        <v>83.199928492394363</v>
      </c>
      <c r="L13" s="15" t="e">
        <f t="shared" si="2"/>
        <v>#DIV/0!</v>
      </c>
      <c r="M13" s="16">
        <f t="shared" si="9"/>
        <v>16.80007150760563</v>
      </c>
      <c r="N13" s="16">
        <f t="shared" si="6"/>
        <v>0</v>
      </c>
      <c r="P13" s="7"/>
      <c r="Q13" s="7"/>
      <c r="R13" s="7" t="e">
        <f t="shared" si="5"/>
        <v>#DIV/0!</v>
      </c>
    </row>
    <row r="14" spans="1:26" s="1" customFormat="1" ht="18.75" x14ac:dyDescent="0.15">
      <c r="A14" s="2"/>
      <c r="B14" s="25"/>
      <c r="C14" s="33"/>
      <c r="D14" s="8">
        <v>38</v>
      </c>
      <c r="E14" s="6"/>
      <c r="F14" s="6"/>
      <c r="G14" s="6">
        <v>352225.1</v>
      </c>
      <c r="H14" s="6">
        <v>135029.79999999999</v>
      </c>
      <c r="I14" s="6">
        <v>74578.100000000006</v>
      </c>
      <c r="J14" s="16">
        <f t="shared" si="7"/>
        <v>75.966203480393631</v>
      </c>
      <c r="K14" s="16">
        <f t="shared" si="8"/>
        <v>82.526349380698178</v>
      </c>
      <c r="L14" s="15" t="e">
        <f t="shared" si="2"/>
        <v>#DIV/0!</v>
      </c>
      <c r="M14" s="16">
        <f t="shared" si="9"/>
        <v>17.473650619301829</v>
      </c>
      <c r="N14" s="16">
        <f t="shared" si="6"/>
        <v>0</v>
      </c>
      <c r="P14" s="7"/>
      <c r="Q14" s="7"/>
      <c r="R14" s="7" t="e">
        <f t="shared" si="5"/>
        <v>#DIV/0!</v>
      </c>
    </row>
    <row r="15" spans="1:26" s="1" customFormat="1" ht="18.75" x14ac:dyDescent="0.15">
      <c r="A15" s="2"/>
      <c r="B15" s="25"/>
      <c r="C15" s="33"/>
      <c r="D15" s="8"/>
      <c r="E15" s="6"/>
      <c r="F15" s="6"/>
      <c r="G15" s="6"/>
      <c r="H15" s="6"/>
      <c r="I15" s="6"/>
      <c r="J15" s="16" t="e">
        <f t="shared" si="7"/>
        <v>#DIV/0!</v>
      </c>
      <c r="K15" s="16" t="e">
        <f t="shared" si="8"/>
        <v>#DIV/0!</v>
      </c>
      <c r="L15" s="15" t="e">
        <f t="shared" si="2"/>
        <v>#DIV/0!</v>
      </c>
      <c r="M15" s="16" t="e">
        <f t="shared" si="9"/>
        <v>#DIV/0!</v>
      </c>
      <c r="N15" s="16" t="e">
        <f t="shared" si="6"/>
        <v>#DIV/0!</v>
      </c>
      <c r="P15" s="7"/>
      <c r="Q15" s="7"/>
      <c r="R15" s="7" t="e">
        <f t="shared" si="5"/>
        <v>#DIV/0!</v>
      </c>
    </row>
    <row r="16" spans="1:26" s="1" customFormat="1" ht="18.75" x14ac:dyDescent="0.15">
      <c r="A16" s="2"/>
      <c r="B16" s="25"/>
      <c r="C16" s="33"/>
      <c r="D16" s="8"/>
      <c r="E16" s="6"/>
      <c r="F16" s="6"/>
      <c r="G16" s="6"/>
      <c r="H16" s="6"/>
      <c r="I16" s="6"/>
      <c r="J16" s="16" t="e">
        <f t="shared" si="7"/>
        <v>#DIV/0!</v>
      </c>
      <c r="K16" s="16" t="e">
        <f t="shared" si="8"/>
        <v>#DIV/0!</v>
      </c>
      <c r="L16" s="15" t="e">
        <f t="shared" si="2"/>
        <v>#DIV/0!</v>
      </c>
      <c r="M16" s="16" t="e">
        <f t="shared" si="9"/>
        <v>#DIV/0!</v>
      </c>
      <c r="N16" s="16" t="e">
        <f t="shared" si="6"/>
        <v>#DIV/0!</v>
      </c>
      <c r="P16" s="7"/>
      <c r="Q16" s="7"/>
      <c r="R16" s="7" t="e">
        <f t="shared" si="5"/>
        <v>#DIV/0!</v>
      </c>
    </row>
    <row r="17" spans="1:18" s="1" customFormat="1" ht="18.75" x14ac:dyDescent="0.15">
      <c r="A17" s="2"/>
      <c r="B17" s="25"/>
      <c r="C17" s="34"/>
      <c r="D17" s="22"/>
      <c r="E17" s="6"/>
      <c r="F17" s="6"/>
      <c r="G17" s="6"/>
      <c r="H17" s="6"/>
      <c r="I17" s="6"/>
      <c r="J17" s="16" t="e">
        <f t="shared" si="7"/>
        <v>#DIV/0!</v>
      </c>
      <c r="K17" s="16" t="e">
        <f t="shared" si="8"/>
        <v>#DIV/0!</v>
      </c>
      <c r="L17" s="15" t="e">
        <f t="shared" si="2"/>
        <v>#DIV/0!</v>
      </c>
      <c r="M17" s="16" t="e">
        <f t="shared" si="9"/>
        <v>#DIV/0!</v>
      </c>
      <c r="N17" s="16" t="e">
        <f t="shared" si="6"/>
        <v>#DIV/0!</v>
      </c>
      <c r="P17" s="7"/>
      <c r="Q17" s="7"/>
      <c r="R17" s="7" t="e">
        <f t="shared" si="5"/>
        <v>#DIV/0!</v>
      </c>
    </row>
    <row r="18" spans="1:18" s="1" customFormat="1" ht="18.75" x14ac:dyDescent="0.15">
      <c r="J18" s="17"/>
      <c r="K18" s="17"/>
      <c r="L18" s="17"/>
      <c r="M18" s="17"/>
      <c r="N18" s="17"/>
    </row>
    <row r="19" spans="1:18" s="1" customFormat="1" ht="18.75" x14ac:dyDescent="0.15">
      <c r="J19" s="17"/>
      <c r="K19" s="17"/>
      <c r="L19" s="17"/>
      <c r="M19" s="17"/>
      <c r="N19" s="17"/>
    </row>
    <row r="20" spans="1:18" s="1" customFormat="1" ht="18.75" x14ac:dyDescent="0.15">
      <c r="J20" s="17"/>
      <c r="K20" s="17"/>
      <c r="L20" s="17"/>
      <c r="M20" s="17"/>
      <c r="N20" s="17"/>
    </row>
    <row r="21" spans="1:18" s="1" customFormat="1" ht="18.75" x14ac:dyDescent="0.15">
      <c r="J21" s="17"/>
      <c r="K21" s="17"/>
      <c r="L21" s="17"/>
      <c r="M21" s="17"/>
      <c r="N21" s="17"/>
    </row>
    <row r="22" spans="1:18" s="1" customFormat="1" ht="18.75" x14ac:dyDescent="0.15">
      <c r="J22" s="17"/>
      <c r="K22" s="17"/>
      <c r="L22" s="17"/>
      <c r="M22" s="17"/>
      <c r="N22" s="17"/>
    </row>
    <row r="23" spans="1:18" s="1" customFormat="1" ht="18.75" x14ac:dyDescent="0.15">
      <c r="J23" s="17"/>
      <c r="K23" s="17"/>
      <c r="L23" s="17" t="s">
        <v>20</v>
      </c>
      <c r="M23" s="17"/>
      <c r="N23" s="17"/>
    </row>
    <row r="24" spans="1:18" s="1" customFormat="1" ht="18.75" x14ac:dyDescent="0.15">
      <c r="J24" s="17"/>
      <c r="K24" s="17"/>
      <c r="L24" s="17"/>
      <c r="M24" s="17"/>
      <c r="N24" s="17"/>
    </row>
    <row r="25" spans="1:18" s="1" customFormat="1" ht="18.75" x14ac:dyDescent="0.15">
      <c r="J25" s="17"/>
      <c r="K25" s="17"/>
      <c r="L25" s="17"/>
      <c r="M25" s="17"/>
      <c r="N25" s="17"/>
    </row>
    <row r="26" spans="1:18" s="1" customFormat="1" ht="18.75" x14ac:dyDescent="0.15">
      <c r="J26" s="17"/>
      <c r="K26" s="17"/>
      <c r="L26" s="17"/>
      <c r="M26" s="17"/>
      <c r="N26" s="17"/>
    </row>
    <row r="27" spans="1:18" s="1" customFormat="1" ht="18.75" x14ac:dyDescent="0.15">
      <c r="J27" s="17"/>
      <c r="K27" s="17"/>
      <c r="L27" s="17"/>
      <c r="M27" s="17"/>
      <c r="N27" s="17"/>
    </row>
    <row r="28" spans="1:18" s="1" customFormat="1" ht="18.75" x14ac:dyDescent="0.15">
      <c r="J28" s="17"/>
      <c r="K28" s="17"/>
      <c r="L28" s="17"/>
      <c r="M28" s="17"/>
      <c r="N28" s="17"/>
    </row>
    <row r="29" spans="1:18" s="1" customFormat="1" ht="18.75" x14ac:dyDescent="0.15">
      <c r="J29" s="17"/>
      <c r="K29" s="17"/>
      <c r="L29" s="17"/>
      <c r="M29" s="17"/>
      <c r="N29" s="17"/>
    </row>
  </sheetData>
  <mergeCells count="8">
    <mergeCell ref="T3:U3"/>
    <mergeCell ref="T4:U4"/>
    <mergeCell ref="B11:B17"/>
    <mergeCell ref="B1:N2"/>
    <mergeCell ref="P3:R3"/>
    <mergeCell ref="B4:B10"/>
    <mergeCell ref="C4:C10"/>
    <mergeCell ref="C11:C1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E6" sqref="E6"/>
    </sheetView>
  </sheetViews>
  <sheetFormatPr defaultRowHeight="13.5" x14ac:dyDescent="0.15"/>
  <sheetData>
    <row r="1" spans="1:1" x14ac:dyDescent="0.15">
      <c r="A1">
        <v>11.47</v>
      </c>
    </row>
    <row r="2" spans="1:1" x14ac:dyDescent="0.15">
      <c r="A2">
        <v>11.81</v>
      </c>
    </row>
    <row r="3" spans="1:1" x14ac:dyDescent="0.15">
      <c r="A3">
        <v>11.81</v>
      </c>
    </row>
    <row r="4" spans="1:1" x14ac:dyDescent="0.15">
      <c r="A4">
        <v>11.78</v>
      </c>
    </row>
    <row r="5" spans="1:1" x14ac:dyDescent="0.15">
      <c r="A5">
        <v>11.76</v>
      </c>
    </row>
    <row r="6" spans="1:1" x14ac:dyDescent="0.15">
      <c r="A6">
        <f>AVERAGE(A2:A5)</f>
        <v>11.79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2026-03-13T02:52:15Z</dcterms:modified>
</cp:coreProperties>
</file>