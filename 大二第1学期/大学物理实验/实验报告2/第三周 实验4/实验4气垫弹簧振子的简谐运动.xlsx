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zhanghanbin\Desktop\课件\大一下\大物实验\"/>
    </mc:Choice>
  </mc:AlternateContent>
  <xr:revisionPtr revIDLastSave="0" documentId="13_ncr:1_{9BA519B3-DA7F-46EB-B7BE-6419DEB30B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E34" i="1" s="1"/>
  <c r="F34" i="1" s="1"/>
  <c r="D37" i="1"/>
  <c r="E37" i="1" s="1"/>
  <c r="F37" i="1" s="1"/>
  <c r="D40" i="1"/>
  <c r="E40" i="1" s="1"/>
  <c r="F40" i="1" s="1"/>
  <c r="D31" i="1"/>
  <c r="E31" i="1" s="1"/>
  <c r="F31" i="1" s="1"/>
  <c r="C12" i="1"/>
  <c r="C13" i="1" s="1"/>
  <c r="C14" i="1" s="1"/>
  <c r="D12" i="1"/>
  <c r="D13" i="1" s="1"/>
  <c r="D14" i="1" s="1"/>
  <c r="E12" i="1"/>
  <c r="E13" i="1" s="1"/>
  <c r="E14" i="1" s="1"/>
  <c r="B12" i="1"/>
  <c r="B13" i="1" s="1"/>
  <c r="B14" i="1" s="1"/>
</calcChain>
</file>

<file path=xl/sharedStrings.xml><?xml version="1.0" encoding="utf-8"?>
<sst xmlns="http://schemas.openxmlformats.org/spreadsheetml/2006/main" count="24" uniqueCount="24">
  <si>
    <t>t平均</t>
    <phoneticPr fontId="1" type="noConversion"/>
  </si>
  <si>
    <t>周期</t>
    <phoneticPr fontId="1" type="noConversion"/>
  </si>
  <si>
    <t>倔强系数</t>
    <phoneticPr fontId="1" type="noConversion"/>
  </si>
  <si>
    <t>滑块</t>
    <phoneticPr fontId="1" type="noConversion"/>
  </si>
  <si>
    <t>滑块+两个骑码</t>
    <phoneticPr fontId="1" type="noConversion"/>
  </si>
  <si>
    <t>滑块+四个骑码</t>
    <phoneticPr fontId="1" type="noConversion"/>
  </si>
  <si>
    <t>滑块+六个骑码</t>
    <phoneticPr fontId="1" type="noConversion"/>
  </si>
  <si>
    <t>m1(*10^-3kg)</t>
    <phoneticPr fontId="1" type="noConversion"/>
  </si>
  <si>
    <t>周期T(s)</t>
    <phoneticPr fontId="1" type="noConversion"/>
  </si>
  <si>
    <t>时间t(s)</t>
    <phoneticPr fontId="1" type="noConversion"/>
  </si>
  <si>
    <t>T^2(s^2)</t>
    <phoneticPr fontId="1" type="noConversion"/>
  </si>
  <si>
    <r>
      <t>t </t>
    </r>
    <r>
      <rPr>
        <sz val="11"/>
        <color theme="1"/>
        <rFont val="Times New Roman"/>
        <family val="1"/>
      </rPr>
      <t>̅(</t>
    </r>
    <r>
      <rPr>
        <sz val="11"/>
        <color theme="1"/>
        <rFont val="等线"/>
        <family val="1"/>
        <charset val="134"/>
      </rPr>
      <t>s</t>
    </r>
    <r>
      <rPr>
        <sz val="11"/>
        <color theme="1"/>
        <rFont val="Times New Roman"/>
        <family val="1"/>
      </rPr>
      <t>)</t>
    </r>
    <phoneticPr fontId="1" type="noConversion"/>
  </si>
  <si>
    <r>
      <t>周期数=</t>
    </r>
    <r>
      <rPr>
        <b/>
        <u/>
        <sz val="10"/>
        <color theme="1"/>
        <rFont val="等线"/>
        <family val="3"/>
        <charset val="134"/>
        <scheme val="minor"/>
      </rPr>
      <t>3</t>
    </r>
    <phoneticPr fontId="1" type="noConversion"/>
  </si>
  <si>
    <r>
      <t>m1=</t>
    </r>
    <r>
      <rPr>
        <b/>
        <u/>
        <sz val="11"/>
        <color theme="1"/>
        <rFont val="等线"/>
        <family val="3"/>
        <charset val="134"/>
        <scheme val="minor"/>
      </rPr>
      <t>211.09</t>
    </r>
    <r>
      <rPr>
        <sz val="11"/>
        <color theme="1"/>
        <rFont val="等线"/>
        <family val="2"/>
        <scheme val="minor"/>
      </rPr>
      <t>g</t>
    </r>
    <phoneticPr fontId="1" type="noConversion"/>
  </si>
  <si>
    <r>
      <t>ms=</t>
    </r>
    <r>
      <rPr>
        <b/>
        <u/>
        <sz val="11"/>
        <color theme="1"/>
        <rFont val="等线"/>
        <family val="3"/>
        <charset val="134"/>
        <scheme val="minor"/>
      </rPr>
      <t>21.41</t>
    </r>
    <r>
      <rPr>
        <sz val="11"/>
        <color theme="1"/>
        <rFont val="等线"/>
        <family val="2"/>
        <scheme val="minor"/>
      </rPr>
      <t>g</t>
    </r>
    <phoneticPr fontId="1" type="noConversion"/>
  </si>
  <si>
    <t>弹簧振子简谐振动周期与振幅的关系</t>
    <phoneticPr fontId="1" type="noConversion"/>
  </si>
  <si>
    <r>
      <t>弹簧振子简谐振动周期与振子质量的关系(振幅A=</t>
    </r>
    <r>
      <rPr>
        <b/>
        <u/>
        <sz val="10"/>
        <color theme="1"/>
        <rFont val="等线"/>
        <family val="3"/>
        <charset val="134"/>
        <scheme val="minor"/>
      </rPr>
      <t>20.00</t>
    </r>
    <r>
      <rPr>
        <sz val="10"/>
        <color theme="1"/>
        <rFont val="等线"/>
        <family val="3"/>
        <charset val="134"/>
        <scheme val="minor"/>
      </rPr>
      <t>cm,周期数=</t>
    </r>
    <r>
      <rPr>
        <b/>
        <u/>
        <sz val="10"/>
        <color theme="1"/>
        <rFont val="等线"/>
        <family val="3"/>
        <charset val="134"/>
        <scheme val="minor"/>
      </rPr>
      <t>3</t>
    </r>
    <r>
      <rPr>
        <sz val="10"/>
        <color theme="1"/>
        <rFont val="等线"/>
        <family val="3"/>
        <charset val="134"/>
        <scheme val="minor"/>
      </rPr>
      <t>)</t>
    </r>
    <phoneticPr fontId="1" type="noConversion"/>
  </si>
  <si>
    <t>气垫导轨的水平调节</t>
    <phoneticPr fontId="1" type="noConversion"/>
  </si>
  <si>
    <t>方向</t>
    <phoneticPr fontId="1" type="noConversion"/>
  </si>
  <si>
    <t>从左到右</t>
    <phoneticPr fontId="1" type="noConversion"/>
  </si>
  <si>
    <t>从右到左</t>
    <phoneticPr fontId="1" type="noConversion"/>
  </si>
  <si>
    <t>Δt1(ms)</t>
    <phoneticPr fontId="1" type="noConversion"/>
  </si>
  <si>
    <t>Δt2(ms)</t>
    <phoneticPr fontId="1" type="noConversion"/>
  </si>
  <si>
    <t>2*丨Δt1-Δt2丨/(Δt1+Δt2) 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</si>
</sst>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1"/>
      <charset val="134"/>
    </font>
    <font>
      <sz val="10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b/>
      <u/>
      <sz val="10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周期</a:t>
            </a:r>
            <a:r>
              <a:rPr lang="en-US" altLang="zh-CN"/>
              <a:t>T(s)</a:t>
            </a:r>
            <a:r>
              <a:rPr lang="zh-CN" altLang="en-US"/>
              <a:t>与振幅</a:t>
            </a:r>
            <a:r>
              <a:rPr lang="en-US" altLang="zh-CN"/>
              <a:t>A(cm)</a:t>
            </a:r>
            <a:r>
              <a:rPr lang="zh-CN" altLang="en-US"/>
              <a:t>的关系图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Sheet1!$B$8:$E$8</c:f>
              <c:numCache>
                <c:formatCode>0.00_ </c:formatCode>
                <c:ptCount val="4"/>
                <c:pt idx="0">
                  <c:v>18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</c:numCache>
            </c:numRef>
          </c:xVal>
          <c:yVal>
            <c:numRef>
              <c:f>Sheet1!$B$13:$E$13</c:f>
              <c:numCache>
                <c:formatCode>0.0000_ </c:formatCode>
                <c:ptCount val="4"/>
                <c:pt idx="0">
                  <c:v>1.5084888888888892</c:v>
                </c:pt>
                <c:pt idx="1">
                  <c:v>1.5083111111111112</c:v>
                </c:pt>
                <c:pt idx="2">
                  <c:v>1.5086555555555554</c:v>
                </c:pt>
                <c:pt idx="3">
                  <c:v>1.5086222222222221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3D-43E0-BFDF-431BF4F10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28303"/>
        <c:axId val="303127343"/>
      </c:scatterChart>
      <c:valAx>
        <c:axId val="303128303"/>
        <c:scaling>
          <c:orientation val="minMax"/>
          <c:max val="24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3127343"/>
        <c:crosses val="autoZero"/>
        <c:crossBetween val="midCat"/>
        <c:majorUnit val="2"/>
      </c:valAx>
      <c:valAx>
        <c:axId val="303127343"/>
        <c:scaling>
          <c:orientation val="minMax"/>
          <c:max val="1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3128303"/>
        <c:crosses val="autoZero"/>
        <c:crossBetween val="midCat"/>
        <c:majorUnit val="0.3000000000000000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/>
              <a:t>周期平方</a:t>
            </a:r>
            <a:r>
              <a:rPr lang="en-US" altLang="zh-CN" sz="1100"/>
              <a:t>T^2(s^2)</a:t>
            </a:r>
            <a:r>
              <a:rPr lang="zh-CN" altLang="en-US" sz="1100"/>
              <a:t>与振子质量</a:t>
            </a:r>
            <a:r>
              <a:rPr lang="en-US" altLang="zh-CN" sz="1100"/>
              <a:t>m1(g)</a:t>
            </a:r>
            <a:r>
              <a:rPr lang="zh-CN" altLang="en-US" sz="1100"/>
              <a:t>的关系图</a:t>
            </a:r>
          </a:p>
        </c:rich>
      </c:tx>
      <c:layout>
        <c:manualLayout>
          <c:xMode val="edge"/>
          <c:yMode val="edge"/>
          <c:x val="0.19898425196850394"/>
          <c:y val="1.7897091722595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11.09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Sheet1!$B$31:$B$42</c:f>
              <c:numCache>
                <c:formatCode>0.00_ </c:formatCode>
                <c:ptCount val="12"/>
                <c:pt idx="0">
                  <c:v>211.09</c:v>
                </c:pt>
                <c:pt idx="3">
                  <c:v>310.24</c:v>
                </c:pt>
                <c:pt idx="6">
                  <c:v>409.74</c:v>
                </c:pt>
                <c:pt idx="9">
                  <c:v>509.44</c:v>
                </c:pt>
              </c:numCache>
            </c:numRef>
          </c:xVal>
          <c:yVal>
            <c:numRef>
              <c:f>Sheet1!$F$31:$F$42</c:f>
              <c:numCache>
                <c:formatCode>0.0000_ </c:formatCode>
                <c:ptCount val="12"/>
                <c:pt idx="0">
                  <c:v>2.2750024079012348</c:v>
                </c:pt>
                <c:pt idx="3">
                  <c:v>3.3089226908641982</c:v>
                </c:pt>
                <c:pt idx="6">
                  <c:v>4.3411574519753078</c:v>
                </c:pt>
                <c:pt idx="9">
                  <c:v>5.3720423211111106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66-48D9-9E62-E6583AA75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930703"/>
        <c:axId val="220950863"/>
      </c:scatterChart>
      <c:valAx>
        <c:axId val="22093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950863"/>
        <c:crosses val="autoZero"/>
        <c:crossBetween val="midCat"/>
      </c:valAx>
      <c:valAx>
        <c:axId val="22095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93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38100</xdr:rowOff>
    </xdr:from>
    <xdr:to>
      <xdr:col>5</xdr:col>
      <xdr:colOff>6350</xdr:colOff>
      <xdr:row>27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2FEC876-DE66-A421-F36A-A9D0E5F21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42</xdr:row>
      <xdr:rowOff>12700</xdr:rowOff>
    </xdr:from>
    <xdr:to>
      <xdr:col>5</xdr:col>
      <xdr:colOff>654050</xdr:colOff>
      <xdr:row>57</xdr:row>
      <xdr:rowOff>165100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6233594-E201-33EC-8ABA-97917426E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11</xdr:col>
      <xdr:colOff>31750</xdr:colOff>
      <xdr:row>27</xdr:row>
      <xdr:rowOff>165100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7AA10E6-D80D-5137-9554-5848925E1FFD}"/>
            </a:ext>
          </a:extLst>
        </xdr:cNvPr>
        <xdr:cNvSpPr txBox="1"/>
      </xdr:nvSpPr>
      <xdr:spPr>
        <a:xfrm>
          <a:off x="7435850" y="407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10</xdr:col>
      <xdr:colOff>577850</xdr:colOff>
      <xdr:row>27</xdr:row>
      <xdr:rowOff>158750</xdr:rowOff>
    </xdr:from>
    <xdr:ext cx="65" cy="172227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3D5E0BEB-569A-FA71-0FE7-6B880901896A}"/>
            </a:ext>
          </a:extLst>
        </xdr:cNvPr>
        <xdr:cNvSpPr txBox="1"/>
      </xdr:nvSpPr>
      <xdr:spPr>
        <a:xfrm>
          <a:off x="7321550" y="495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F16" sqref="F16"/>
    </sheetView>
  </sheetViews>
  <sheetFormatPr defaultRowHeight="14" x14ac:dyDescent="0.3"/>
  <cols>
    <col min="2" max="2" width="10.08203125" bestFit="1" customWidth="1"/>
    <col min="7" max="7" width="9.08203125" bestFit="1" customWidth="1"/>
  </cols>
  <sheetData>
    <row r="1" spans="1:6" x14ac:dyDescent="0.3">
      <c r="A1" s="10" t="s">
        <v>17</v>
      </c>
      <c r="B1" s="10"/>
      <c r="C1" s="10"/>
      <c r="D1" s="10"/>
      <c r="E1" s="10"/>
      <c r="F1" s="10"/>
    </row>
    <row r="2" spans="1:6" x14ac:dyDescent="0.3">
      <c r="A2" s="1" t="s">
        <v>18</v>
      </c>
      <c r="B2" s="1" t="s">
        <v>21</v>
      </c>
      <c r="C2" s="1" t="s">
        <v>22</v>
      </c>
      <c r="D2" s="10" t="s">
        <v>23</v>
      </c>
      <c r="E2" s="10"/>
      <c r="F2" s="10"/>
    </row>
    <row r="3" spans="1:6" x14ac:dyDescent="0.3">
      <c r="A3" s="1" t="s">
        <v>19</v>
      </c>
      <c r="B3" s="8">
        <v>20.2</v>
      </c>
      <c r="C3" s="8">
        <v>20.63</v>
      </c>
      <c r="D3" s="10">
        <v>2.1</v>
      </c>
      <c r="E3" s="10"/>
      <c r="F3" s="10"/>
    </row>
    <row r="4" spans="1:6" x14ac:dyDescent="0.3">
      <c r="A4" s="1" t="s">
        <v>20</v>
      </c>
      <c r="B4" s="8">
        <v>26.49</v>
      </c>
      <c r="C4" s="8">
        <v>27.13</v>
      </c>
      <c r="D4" s="10">
        <v>2.4</v>
      </c>
      <c r="E4" s="10"/>
      <c r="F4" s="10"/>
    </row>
    <row r="6" spans="1:6" x14ac:dyDescent="0.3">
      <c r="A6" s="10" t="s">
        <v>15</v>
      </c>
      <c r="B6" s="10"/>
      <c r="C6" s="10"/>
      <c r="D6" s="10"/>
      <c r="E6" s="10"/>
    </row>
    <row r="7" spans="1:6" x14ac:dyDescent="0.3">
      <c r="A7" s="6" t="s">
        <v>12</v>
      </c>
      <c r="B7" s="18" t="s">
        <v>13</v>
      </c>
      <c r="C7" s="19"/>
      <c r="D7" s="18" t="s">
        <v>14</v>
      </c>
      <c r="E7" s="19"/>
    </row>
    <row r="8" spans="1:6" x14ac:dyDescent="0.3">
      <c r="A8" s="9"/>
      <c r="B8" s="5">
        <v>18</v>
      </c>
      <c r="C8" s="5">
        <v>20</v>
      </c>
      <c r="D8" s="5">
        <v>22</v>
      </c>
      <c r="E8" s="5">
        <v>24</v>
      </c>
      <c r="F8" s="2"/>
    </row>
    <row r="9" spans="1:6" x14ac:dyDescent="0.3">
      <c r="A9" s="1">
        <v>1</v>
      </c>
      <c r="B9" s="4">
        <v>4.5251999999999999</v>
      </c>
      <c r="C9" s="4">
        <v>4.5251999999999999</v>
      </c>
      <c r="D9" s="4">
        <v>4.5255999999999998</v>
      </c>
      <c r="E9" s="4">
        <v>4.5259999999999998</v>
      </c>
      <c r="F9" s="2"/>
    </row>
    <row r="10" spans="1:6" x14ac:dyDescent="0.3">
      <c r="A10" s="1">
        <v>2</v>
      </c>
      <c r="B10" s="4">
        <v>4.5262000000000002</v>
      </c>
      <c r="C10" s="4">
        <v>4.5251000000000001</v>
      </c>
      <c r="D10" s="4">
        <v>4.5265000000000004</v>
      </c>
      <c r="E10" s="4">
        <v>4.5260999999999996</v>
      </c>
      <c r="F10" s="2"/>
    </row>
    <row r="11" spans="1:6" x14ac:dyDescent="0.3">
      <c r="A11" s="1">
        <v>3</v>
      </c>
      <c r="B11" s="4">
        <v>4.5250000000000004</v>
      </c>
      <c r="C11" s="4">
        <v>4.5244999999999997</v>
      </c>
      <c r="D11" s="4">
        <v>4.5258000000000003</v>
      </c>
      <c r="E11" s="4">
        <v>4.5255000000000001</v>
      </c>
      <c r="F11" s="2"/>
    </row>
    <row r="12" spans="1:6" x14ac:dyDescent="0.3">
      <c r="A12" s="1" t="s">
        <v>0</v>
      </c>
      <c r="B12" s="4">
        <f>(B9+B10+B11)/3</f>
        <v>4.5254666666666674</v>
      </c>
      <c r="C12" s="4">
        <f t="shared" ref="C12:E12" si="0">(C9+C10+C11)/3</f>
        <v>4.5249333333333333</v>
      </c>
      <c r="D12" s="4">
        <f t="shared" si="0"/>
        <v>4.5259666666666662</v>
      </c>
      <c r="E12" s="4">
        <f t="shared" si="0"/>
        <v>4.5258666666666665</v>
      </c>
      <c r="F12" s="2"/>
    </row>
    <row r="13" spans="1:6" x14ac:dyDescent="0.3">
      <c r="A13" s="1" t="s">
        <v>1</v>
      </c>
      <c r="B13" s="4">
        <f>B12/3</f>
        <v>1.5084888888888892</v>
      </c>
      <c r="C13" s="4">
        <f t="shared" ref="C13:E13" si="1">C12/3</f>
        <v>1.5083111111111112</v>
      </c>
      <c r="D13" s="4">
        <f t="shared" si="1"/>
        <v>1.5086555555555554</v>
      </c>
      <c r="E13" s="4">
        <f t="shared" si="1"/>
        <v>1.5086222222222221</v>
      </c>
      <c r="F13" s="2"/>
    </row>
    <row r="14" spans="1:6" x14ac:dyDescent="0.3">
      <c r="A14" s="1" t="s">
        <v>2</v>
      </c>
      <c r="B14" s="4">
        <f>1/1000*(211.09+21.41/3)*(2*3.141592654/B13)^2</f>
        <v>3.7860236680170156</v>
      </c>
      <c r="C14" s="4">
        <f t="shared" ref="C14:E14" si="2">1/1000*(211.09+21.41/3)*(2*3.141592654/C13)^2</f>
        <v>3.7869162034299801</v>
      </c>
      <c r="D14" s="4">
        <f t="shared" si="2"/>
        <v>3.7851872026121804</v>
      </c>
      <c r="E14" s="4">
        <f t="shared" si="2"/>
        <v>3.7853544735151328</v>
      </c>
      <c r="F14" s="2"/>
    </row>
    <row r="15" spans="1:6" x14ac:dyDescent="0.3">
      <c r="A15" s="3"/>
      <c r="B15" s="2"/>
      <c r="C15" s="2"/>
      <c r="D15" s="2"/>
      <c r="E15" s="2"/>
      <c r="F15" s="2"/>
    </row>
    <row r="16" spans="1:6" x14ac:dyDescent="0.3">
      <c r="A16" s="3"/>
      <c r="B16" s="2"/>
      <c r="C16" s="2"/>
      <c r="D16" s="2"/>
      <c r="E16" s="2"/>
      <c r="F16" s="2"/>
    </row>
    <row r="17" spans="1:6" x14ac:dyDescent="0.3">
      <c r="A17" s="3"/>
      <c r="B17" s="2"/>
      <c r="C17" s="2"/>
      <c r="D17" s="2"/>
      <c r="E17" s="2"/>
      <c r="F17" s="2"/>
    </row>
    <row r="28" spans="1:6" s="3" customFormat="1" ht="13" customHeight="1" x14ac:dyDescent="0.3"/>
    <row r="29" spans="1:6" s="3" customFormat="1" ht="14.5" customHeight="1" x14ac:dyDescent="0.3">
      <c r="A29" s="20" t="s">
        <v>16</v>
      </c>
      <c r="B29" s="10"/>
      <c r="C29" s="10"/>
      <c r="D29" s="10"/>
      <c r="E29" s="10"/>
      <c r="F29" s="10"/>
    </row>
    <row r="30" spans="1:6" x14ac:dyDescent="0.3">
      <c r="A30" s="1"/>
      <c r="B30" s="7" t="s">
        <v>7</v>
      </c>
      <c r="C30" s="1" t="s">
        <v>9</v>
      </c>
      <c r="D30" s="1" t="s">
        <v>11</v>
      </c>
      <c r="E30" s="1" t="s">
        <v>8</v>
      </c>
      <c r="F30" s="1" t="s">
        <v>10</v>
      </c>
    </row>
    <row r="31" spans="1:6" x14ac:dyDescent="0.3">
      <c r="A31" s="10" t="s">
        <v>3</v>
      </c>
      <c r="B31" s="15">
        <v>211.09</v>
      </c>
      <c r="C31" s="4">
        <v>4.5251999999999999</v>
      </c>
      <c r="D31" s="11">
        <f>(C31+C32+C33)/3</f>
        <v>4.5249333333333333</v>
      </c>
      <c r="E31" s="11">
        <f>D31/3</f>
        <v>1.5083111111111112</v>
      </c>
      <c r="F31" s="11">
        <f>E31^2</f>
        <v>2.2750024079012348</v>
      </c>
    </row>
    <row r="32" spans="1:6" x14ac:dyDescent="0.3">
      <c r="A32" s="10"/>
      <c r="B32" s="16"/>
      <c r="C32" s="4">
        <v>4.5251000000000001</v>
      </c>
      <c r="D32" s="12"/>
      <c r="E32" s="12"/>
      <c r="F32" s="12"/>
    </row>
    <row r="33" spans="1:6" x14ac:dyDescent="0.3">
      <c r="A33" s="10"/>
      <c r="B33" s="17"/>
      <c r="C33" s="4">
        <v>4.5244999999999997</v>
      </c>
      <c r="D33" s="13"/>
      <c r="E33" s="13"/>
      <c r="F33" s="13"/>
    </row>
    <row r="34" spans="1:6" x14ac:dyDescent="0.3">
      <c r="A34" s="14" t="s">
        <v>4</v>
      </c>
      <c r="B34" s="15">
        <v>310.24</v>
      </c>
      <c r="C34" s="4">
        <v>5.4570999999999996</v>
      </c>
      <c r="D34" s="11">
        <f t="shared" ref="D34" si="3">(C34+C35+C36)/3</f>
        <v>5.4571333333333341</v>
      </c>
      <c r="E34" s="11">
        <f t="shared" ref="E34" si="4">D34/3</f>
        <v>1.8190444444444447</v>
      </c>
      <c r="F34" s="11">
        <f t="shared" ref="F34" si="5">E34^2</f>
        <v>3.3089226908641982</v>
      </c>
    </row>
    <row r="35" spans="1:6" x14ac:dyDescent="0.3">
      <c r="A35" s="14"/>
      <c r="B35" s="16"/>
      <c r="C35" s="4">
        <v>5.4569999999999999</v>
      </c>
      <c r="D35" s="12"/>
      <c r="E35" s="12"/>
      <c r="F35" s="12"/>
    </row>
    <row r="36" spans="1:6" x14ac:dyDescent="0.3">
      <c r="A36" s="14"/>
      <c r="B36" s="17"/>
      <c r="C36" s="4">
        <v>5.4573</v>
      </c>
      <c r="D36" s="13"/>
      <c r="E36" s="13"/>
      <c r="F36" s="13"/>
    </row>
    <row r="37" spans="1:6" x14ac:dyDescent="0.3">
      <c r="A37" s="14" t="s">
        <v>5</v>
      </c>
      <c r="B37" s="15">
        <v>409.74</v>
      </c>
      <c r="C37" s="4">
        <v>6.2512999999999996</v>
      </c>
      <c r="D37" s="11">
        <f t="shared" ref="D37" si="6">(C37+C38+C39)/3</f>
        <v>6.250633333333333</v>
      </c>
      <c r="E37" s="11">
        <f t="shared" ref="E37" si="7">D37/3</f>
        <v>2.0835444444444442</v>
      </c>
      <c r="F37" s="11">
        <f t="shared" ref="F37" si="8">E37^2</f>
        <v>4.3411574519753078</v>
      </c>
    </row>
    <row r="38" spans="1:6" x14ac:dyDescent="0.3">
      <c r="A38" s="14"/>
      <c r="B38" s="16"/>
      <c r="C38" s="4">
        <v>6.2510000000000003</v>
      </c>
      <c r="D38" s="12"/>
      <c r="E38" s="12"/>
      <c r="F38" s="12"/>
    </row>
    <row r="39" spans="1:6" x14ac:dyDescent="0.3">
      <c r="A39" s="14"/>
      <c r="B39" s="17"/>
      <c r="C39" s="4">
        <v>6.2496</v>
      </c>
      <c r="D39" s="13"/>
      <c r="E39" s="13"/>
      <c r="F39" s="13"/>
    </row>
    <row r="40" spans="1:6" x14ac:dyDescent="0.3">
      <c r="A40" s="14" t="s">
        <v>6</v>
      </c>
      <c r="B40" s="15">
        <v>509.44</v>
      </c>
      <c r="C40" s="4">
        <v>6.9539</v>
      </c>
      <c r="D40" s="11">
        <f t="shared" ref="D40" si="9">(C40+C41+C42)/3</f>
        <v>6.9532999999999996</v>
      </c>
      <c r="E40" s="11">
        <f t="shared" ref="E40" si="10">D40/3</f>
        <v>2.3177666666666665</v>
      </c>
      <c r="F40" s="11">
        <f t="shared" ref="F40" si="11">E40^2</f>
        <v>5.3720423211111106</v>
      </c>
    </row>
    <row r="41" spans="1:6" x14ac:dyDescent="0.3">
      <c r="A41" s="14"/>
      <c r="B41" s="16"/>
      <c r="C41" s="4">
        <v>6.9538000000000002</v>
      </c>
      <c r="D41" s="12"/>
      <c r="E41" s="12"/>
      <c r="F41" s="12"/>
    </row>
    <row r="42" spans="1:6" x14ac:dyDescent="0.3">
      <c r="A42" s="14"/>
      <c r="B42" s="17"/>
      <c r="C42" s="4">
        <v>6.9522000000000004</v>
      </c>
      <c r="D42" s="13"/>
      <c r="E42" s="13"/>
      <c r="F42" s="13"/>
    </row>
  </sheetData>
  <mergeCells count="28">
    <mergeCell ref="B40:B42"/>
    <mergeCell ref="A40:A42"/>
    <mergeCell ref="A6:E6"/>
    <mergeCell ref="D37:D39"/>
    <mergeCell ref="D34:D36"/>
    <mergeCell ref="D31:D33"/>
    <mergeCell ref="B7:C7"/>
    <mergeCell ref="D7:E7"/>
    <mergeCell ref="A29:F29"/>
    <mergeCell ref="F40:F42"/>
    <mergeCell ref="E40:E42"/>
    <mergeCell ref="D40:D42"/>
    <mergeCell ref="F37:F39"/>
    <mergeCell ref="F34:F36"/>
    <mergeCell ref="E37:E39"/>
    <mergeCell ref="E34:E36"/>
    <mergeCell ref="E31:E33"/>
    <mergeCell ref="A31:A33"/>
    <mergeCell ref="A34:A36"/>
    <mergeCell ref="A37:A39"/>
    <mergeCell ref="B31:B33"/>
    <mergeCell ref="B37:B39"/>
    <mergeCell ref="B34:B36"/>
    <mergeCell ref="D4:F4"/>
    <mergeCell ref="D3:F3"/>
    <mergeCell ref="D2:F2"/>
    <mergeCell ref="A1:F1"/>
    <mergeCell ref="F31:F3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zhanghanbin</dc:creator>
  <cp:lastModifiedBy>涵斌 张</cp:lastModifiedBy>
  <cp:lastPrinted>2024-03-13T15:41:29Z</cp:lastPrinted>
  <dcterms:created xsi:type="dcterms:W3CDTF">2015-06-05T18:19:34Z</dcterms:created>
  <dcterms:modified xsi:type="dcterms:W3CDTF">2024-03-13T15:41:32Z</dcterms:modified>
</cp:coreProperties>
</file>