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zhanghanbin\Desktop\学习\大一下\大物实验\第七周 实验19\"/>
    </mc:Choice>
  </mc:AlternateContent>
  <xr:revisionPtr revIDLastSave="0" documentId="13_ncr:1_{2C73B686-43BE-4A36-8BD3-FC528744A0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5" i="1"/>
</calcChain>
</file>

<file path=xl/sharedStrings.xml><?xml version="1.0" encoding="utf-8"?>
<sst xmlns="http://schemas.openxmlformats.org/spreadsheetml/2006/main" count="33" uniqueCount="32">
  <si>
    <t>R0=100.0Ω</t>
    <phoneticPr fontId="1" type="noConversion"/>
  </si>
  <si>
    <t>UR0(mV)</t>
    <phoneticPr fontId="1" type="noConversion"/>
  </si>
  <si>
    <t>UR0'(mV)</t>
    <phoneticPr fontId="1" type="noConversion"/>
  </si>
  <si>
    <t>测量I-f谐振曲线数据表</t>
    <phoneticPr fontId="1" type="noConversion"/>
  </si>
  <si>
    <t>f1(kHz)</t>
    <phoneticPr fontId="1" type="noConversion"/>
  </si>
  <si>
    <t>f2(kHz)</t>
    <phoneticPr fontId="1" type="noConversion"/>
  </si>
  <si>
    <t>测量值Δf=f2-f1(kHz)</t>
    <phoneticPr fontId="1" type="noConversion"/>
  </si>
  <si>
    <t>理论值Δf=R/2ΠL(kHz)</t>
    <phoneticPr fontId="1" type="noConversion"/>
  </si>
  <si>
    <t>通频带宽度Δf</t>
    <phoneticPr fontId="1" type="noConversion"/>
  </si>
  <si>
    <t>谐振频率f0</t>
    <phoneticPr fontId="1" type="noConversion"/>
  </si>
  <si>
    <t>品质因数Q值</t>
    <phoneticPr fontId="1" type="noConversion"/>
  </si>
  <si>
    <t>曲线锋点f0(kHz)</t>
    <phoneticPr fontId="1" type="noConversion"/>
  </si>
  <si>
    <t>测量值f0=</t>
    <phoneticPr fontId="1" type="noConversion"/>
  </si>
  <si>
    <t>理论值f0=</t>
    <phoneticPr fontId="1" type="noConversion"/>
  </si>
  <si>
    <t>测量值Q=</t>
    <phoneticPr fontId="1" type="noConversion"/>
  </si>
  <si>
    <t>理论值Q=</t>
    <phoneticPr fontId="1" type="noConversion"/>
  </si>
  <si>
    <t>谐振电路的通频带宽度Δf、谐振频率f0、品质因数Q值</t>
    <phoneticPr fontId="1" type="noConversion"/>
  </si>
  <si>
    <r>
      <t>L=0.100H，rL=</t>
    </r>
    <r>
      <rPr>
        <u/>
        <sz val="11"/>
        <color theme="1"/>
        <rFont val="等线"/>
        <family val="3"/>
        <charset val="134"/>
        <scheme val="minor"/>
      </rPr>
      <t xml:space="preserve"> 16.0 </t>
    </r>
    <r>
      <rPr>
        <sz val="11"/>
        <color theme="1"/>
        <rFont val="等线"/>
        <family val="2"/>
        <scheme val="minor"/>
      </rPr>
      <t>Ω，C=0.0500μΩ，U=0.900V</t>
    </r>
    <phoneticPr fontId="1" type="noConversion"/>
  </si>
  <si>
    <r>
      <t>R0'=2R0+rL=</t>
    </r>
    <r>
      <rPr>
        <u/>
        <sz val="11"/>
        <color theme="1"/>
        <rFont val="等线"/>
        <family val="3"/>
        <charset val="134"/>
        <scheme val="minor"/>
      </rPr>
      <t xml:space="preserve"> 216.0 </t>
    </r>
    <r>
      <rPr>
        <sz val="11"/>
        <color theme="1"/>
        <rFont val="等线"/>
        <family val="2"/>
        <scheme val="minor"/>
      </rPr>
      <t>Ω</t>
    </r>
    <phoneticPr fontId="1" type="noConversion"/>
  </si>
  <si>
    <t>fL(kHz)</t>
    <phoneticPr fontId="1" type="noConversion"/>
  </si>
  <si>
    <t>fC(kHz)</t>
    <phoneticPr fontId="1" type="noConversion"/>
  </si>
  <si>
    <t>f0(kHz)</t>
    <phoneticPr fontId="1" type="noConversion"/>
  </si>
  <si>
    <t>UL0(V)</t>
    <phoneticPr fontId="1" type="noConversion"/>
  </si>
  <si>
    <t>UC0(V)</t>
    <phoneticPr fontId="1" type="noConversion"/>
  </si>
  <si>
    <r>
      <t>L=0.100H rL=</t>
    </r>
    <r>
      <rPr>
        <u/>
        <sz val="10"/>
        <color theme="1"/>
        <rFont val="等线"/>
        <family val="3"/>
        <charset val="134"/>
        <scheme val="minor"/>
      </rPr>
      <t>16.0</t>
    </r>
    <r>
      <rPr>
        <sz val="10"/>
        <color theme="1"/>
        <rFont val="等线"/>
        <family val="3"/>
        <charset val="134"/>
        <scheme val="minor"/>
      </rPr>
      <t>Ω  C=0.0500μF U=0.900V</t>
    </r>
    <phoneticPr fontId="1" type="noConversion"/>
  </si>
  <si>
    <t>I=UR0/R0(mA)</t>
    <phoneticPr fontId="1" type="noConversion"/>
  </si>
  <si>
    <t>I'=UR0'/R0'(mA)</t>
    <phoneticPr fontId="1" type="noConversion"/>
  </si>
  <si>
    <t>观察谐振现象记录表</t>
    <phoneticPr fontId="1" type="noConversion"/>
  </si>
  <si>
    <r>
      <t>R0'=</t>
    </r>
    <r>
      <rPr>
        <u/>
        <sz val="11"/>
        <color theme="1"/>
        <rFont val="等线"/>
        <family val="3"/>
        <charset val="134"/>
        <scheme val="minor"/>
      </rPr>
      <t>216.0</t>
    </r>
    <r>
      <rPr>
        <sz val="11"/>
        <color theme="1"/>
        <rFont val="等线"/>
        <family val="2"/>
        <scheme val="minor"/>
      </rPr>
      <t>Ω</t>
    </r>
    <phoneticPr fontId="1" type="noConversion"/>
  </si>
  <si>
    <r>
      <t>L=0.100HC=0.0500μF        rL=</t>
    </r>
    <r>
      <rPr>
        <u/>
        <sz val="11"/>
        <color theme="1"/>
        <rFont val="等线"/>
        <family val="3"/>
        <charset val="134"/>
        <scheme val="minor"/>
      </rPr>
      <t>16.0</t>
    </r>
    <r>
      <rPr>
        <sz val="11"/>
        <color theme="1"/>
        <rFont val="等线"/>
        <family val="2"/>
        <scheme val="minor"/>
      </rPr>
      <t>Ω</t>
    </r>
    <phoneticPr fontId="1" type="noConversion"/>
  </si>
  <si>
    <r>
      <t>R=(R0+ rL)=</t>
    </r>
    <r>
      <rPr>
        <u/>
        <sz val="11"/>
        <color theme="1"/>
        <rFont val="等线"/>
        <family val="3"/>
        <charset val="134"/>
        <scheme val="minor"/>
      </rPr>
      <t>116.0</t>
    </r>
    <r>
      <rPr>
        <sz val="11"/>
        <color theme="1"/>
        <rFont val="等线"/>
        <family val="2"/>
        <scheme val="minor"/>
      </rPr>
      <t>Ω</t>
    </r>
    <phoneticPr fontId="1" type="noConversion"/>
  </si>
  <si>
    <r>
      <t>R'=2(R0+rL)=</t>
    </r>
    <r>
      <rPr>
        <u/>
        <sz val="11"/>
        <color theme="1"/>
        <rFont val="等线"/>
        <family val="3"/>
        <charset val="134"/>
        <scheme val="minor"/>
      </rPr>
      <t>232.0</t>
    </r>
    <r>
      <rPr>
        <sz val="11"/>
        <color theme="1"/>
        <rFont val="等线"/>
        <family val="2"/>
        <scheme val="minor"/>
      </rPr>
      <t>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</si>
</sst>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谐振曲线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R0=100Ω时的实验点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Sheet1!$A$5:$A$27</c:f>
              <c:numCache>
                <c:formatCode>0.0000</c:formatCode>
                <c:ptCount val="23"/>
                <c:pt idx="0">
                  <c:v>1.4</c:v>
                </c:pt>
                <c:pt idx="1">
                  <c:v>1.5</c:v>
                </c:pt>
                <c:pt idx="2">
                  <c:v>1.6</c:v>
                </c:pt>
                <c:pt idx="3">
                  <c:v>1.7</c:v>
                </c:pt>
                <c:pt idx="4">
                  <c:v>1.8</c:v>
                </c:pt>
                <c:pt idx="5">
                  <c:v>1.9</c:v>
                </c:pt>
                <c:pt idx="6">
                  <c:v>2</c:v>
                </c:pt>
                <c:pt idx="7">
                  <c:v>2.0499999999999998</c:v>
                </c:pt>
                <c:pt idx="8">
                  <c:v>2.1</c:v>
                </c:pt>
                <c:pt idx="9">
                  <c:v>2.15</c:v>
                </c:pt>
                <c:pt idx="10">
                  <c:v>2.2000000000000002</c:v>
                </c:pt>
                <c:pt idx="11">
                  <c:v>2.25</c:v>
                </c:pt>
                <c:pt idx="12">
                  <c:v>2.2999999999999998</c:v>
                </c:pt>
                <c:pt idx="13">
                  <c:v>2.35</c:v>
                </c:pt>
                <c:pt idx="14">
                  <c:v>2.4</c:v>
                </c:pt>
                <c:pt idx="15">
                  <c:v>2.4500000000000002</c:v>
                </c:pt>
                <c:pt idx="16">
                  <c:v>2.5</c:v>
                </c:pt>
                <c:pt idx="17">
                  <c:v>2.6</c:v>
                </c:pt>
                <c:pt idx="18">
                  <c:v>2.7</c:v>
                </c:pt>
                <c:pt idx="19">
                  <c:v>2.8</c:v>
                </c:pt>
                <c:pt idx="20">
                  <c:v>2.9</c:v>
                </c:pt>
                <c:pt idx="21">
                  <c:v>3</c:v>
                </c:pt>
                <c:pt idx="22">
                  <c:v>3.1</c:v>
                </c:pt>
              </c:numCache>
            </c:numRef>
          </c:xVal>
          <c:yVal>
            <c:numRef>
              <c:f>Sheet1!$E$5:$E$27</c:f>
              <c:numCache>
                <c:formatCode>0.00</c:formatCode>
                <c:ptCount val="23"/>
                <c:pt idx="0">
                  <c:v>0.63</c:v>
                </c:pt>
                <c:pt idx="1">
                  <c:v>0.74</c:v>
                </c:pt>
                <c:pt idx="2">
                  <c:v>0.89</c:v>
                </c:pt>
                <c:pt idx="3">
                  <c:v>1.08</c:v>
                </c:pt>
                <c:pt idx="4">
                  <c:v>1.44</c:v>
                </c:pt>
                <c:pt idx="5">
                  <c:v>1.79</c:v>
                </c:pt>
                <c:pt idx="6">
                  <c:v>2.5</c:v>
                </c:pt>
                <c:pt idx="7">
                  <c:v>3.09</c:v>
                </c:pt>
                <c:pt idx="8">
                  <c:v>3.8</c:v>
                </c:pt>
                <c:pt idx="9">
                  <c:v>5</c:v>
                </c:pt>
                <c:pt idx="10">
                  <c:v>6.3</c:v>
                </c:pt>
                <c:pt idx="11">
                  <c:v>6.9</c:v>
                </c:pt>
                <c:pt idx="12">
                  <c:v>6</c:v>
                </c:pt>
                <c:pt idx="13">
                  <c:v>4.8</c:v>
                </c:pt>
                <c:pt idx="14">
                  <c:v>3.8</c:v>
                </c:pt>
                <c:pt idx="15">
                  <c:v>3.12</c:v>
                </c:pt>
                <c:pt idx="16">
                  <c:v>2.61</c:v>
                </c:pt>
                <c:pt idx="17">
                  <c:v>1.99</c:v>
                </c:pt>
                <c:pt idx="18">
                  <c:v>1.6</c:v>
                </c:pt>
                <c:pt idx="19">
                  <c:v>1.32</c:v>
                </c:pt>
                <c:pt idx="20">
                  <c:v>1.1299999999999999</c:v>
                </c:pt>
                <c:pt idx="21">
                  <c:v>1.03</c:v>
                </c:pt>
                <c:pt idx="22">
                  <c:v>0.93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3C-45D2-8438-C5F4001329E5}"/>
            </c:ext>
          </c:extLst>
        </c:ser>
        <c:ser>
          <c:idx val="3"/>
          <c:order val="3"/>
          <c:tx>
            <c:v>R0=216Ω时的实验点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Sheet1!$A$5:$A$27</c:f>
              <c:numCache>
                <c:formatCode>0.0000</c:formatCode>
                <c:ptCount val="23"/>
                <c:pt idx="0">
                  <c:v>1.4</c:v>
                </c:pt>
                <c:pt idx="1">
                  <c:v>1.5</c:v>
                </c:pt>
                <c:pt idx="2">
                  <c:v>1.6</c:v>
                </c:pt>
                <c:pt idx="3">
                  <c:v>1.7</c:v>
                </c:pt>
                <c:pt idx="4">
                  <c:v>1.8</c:v>
                </c:pt>
                <c:pt idx="5">
                  <c:v>1.9</c:v>
                </c:pt>
                <c:pt idx="6">
                  <c:v>2</c:v>
                </c:pt>
                <c:pt idx="7">
                  <c:v>2.0499999999999998</c:v>
                </c:pt>
                <c:pt idx="8">
                  <c:v>2.1</c:v>
                </c:pt>
                <c:pt idx="9">
                  <c:v>2.15</c:v>
                </c:pt>
                <c:pt idx="10">
                  <c:v>2.2000000000000002</c:v>
                </c:pt>
                <c:pt idx="11">
                  <c:v>2.25</c:v>
                </c:pt>
                <c:pt idx="12">
                  <c:v>2.2999999999999998</c:v>
                </c:pt>
                <c:pt idx="13">
                  <c:v>2.35</c:v>
                </c:pt>
                <c:pt idx="14">
                  <c:v>2.4</c:v>
                </c:pt>
                <c:pt idx="15">
                  <c:v>2.4500000000000002</c:v>
                </c:pt>
                <c:pt idx="16">
                  <c:v>2.5</c:v>
                </c:pt>
                <c:pt idx="17">
                  <c:v>2.6</c:v>
                </c:pt>
                <c:pt idx="18">
                  <c:v>2.7</c:v>
                </c:pt>
                <c:pt idx="19">
                  <c:v>2.8</c:v>
                </c:pt>
                <c:pt idx="20">
                  <c:v>2.9</c:v>
                </c:pt>
                <c:pt idx="21">
                  <c:v>3</c:v>
                </c:pt>
                <c:pt idx="22">
                  <c:v>3.1</c:v>
                </c:pt>
              </c:numCache>
            </c:numRef>
          </c:xVal>
          <c:yVal>
            <c:numRef>
              <c:f>Sheet1!$I$5:$I$27</c:f>
              <c:numCache>
                <c:formatCode>0.000</c:formatCode>
                <c:ptCount val="23"/>
                <c:pt idx="0">
                  <c:v>0.65740740740740744</c:v>
                </c:pt>
                <c:pt idx="1">
                  <c:v>0.72685185185185186</c:v>
                </c:pt>
                <c:pt idx="2">
                  <c:v>0.87037037037037035</c:v>
                </c:pt>
                <c:pt idx="3">
                  <c:v>1.0509259259259258</c:v>
                </c:pt>
                <c:pt idx="4">
                  <c:v>1.2962962962962963</c:v>
                </c:pt>
                <c:pt idx="5">
                  <c:v>1.6203703703703705</c:v>
                </c:pt>
                <c:pt idx="6">
                  <c:v>2.1296296296296298</c:v>
                </c:pt>
                <c:pt idx="7">
                  <c:v>2.4537037037037037</c:v>
                </c:pt>
                <c:pt idx="8">
                  <c:v>2.824074074074074</c:v>
                </c:pt>
                <c:pt idx="9">
                  <c:v>3.1944444444444446</c:v>
                </c:pt>
                <c:pt idx="10">
                  <c:v>3.4722222222222223</c:v>
                </c:pt>
                <c:pt idx="11">
                  <c:v>3.5648148148148149</c:v>
                </c:pt>
                <c:pt idx="12">
                  <c:v>3.425925925925926</c:v>
                </c:pt>
                <c:pt idx="13">
                  <c:v>3.1481481481481484</c:v>
                </c:pt>
                <c:pt idx="14">
                  <c:v>2.7777777777777777</c:v>
                </c:pt>
                <c:pt idx="15">
                  <c:v>2.5</c:v>
                </c:pt>
                <c:pt idx="16">
                  <c:v>2.2222222222222223</c:v>
                </c:pt>
                <c:pt idx="17">
                  <c:v>1.7592592592592593</c:v>
                </c:pt>
                <c:pt idx="18">
                  <c:v>1.5</c:v>
                </c:pt>
                <c:pt idx="19">
                  <c:v>1.2407407407407407</c:v>
                </c:pt>
                <c:pt idx="20">
                  <c:v>1.1157407407407407</c:v>
                </c:pt>
                <c:pt idx="21">
                  <c:v>0.99537037037037035</c:v>
                </c:pt>
                <c:pt idx="22">
                  <c:v>0.89814814814814814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3C-45D2-8438-C5F40013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99551"/>
        <c:axId val="1459072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Sheet1!$A$5:$A$27</c15:sqref>
                        </c15:formulaRef>
                      </c:ext>
                    </c:extLst>
                    <c:numCache>
                      <c:formatCode>0.0000</c:formatCode>
                      <c:ptCount val="23"/>
                      <c:pt idx="0">
                        <c:v>1.4</c:v>
                      </c:pt>
                      <c:pt idx="1">
                        <c:v>1.5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1.8</c:v>
                      </c:pt>
                      <c:pt idx="5">
                        <c:v>1.9</c:v>
                      </c:pt>
                      <c:pt idx="6">
                        <c:v>2</c:v>
                      </c:pt>
                      <c:pt idx="7">
                        <c:v>2.0499999999999998</c:v>
                      </c:pt>
                      <c:pt idx="8">
                        <c:v>2.1</c:v>
                      </c:pt>
                      <c:pt idx="9">
                        <c:v>2.15</c:v>
                      </c:pt>
                      <c:pt idx="10">
                        <c:v>2.2000000000000002</c:v>
                      </c:pt>
                      <c:pt idx="11">
                        <c:v>2.25</c:v>
                      </c:pt>
                      <c:pt idx="12">
                        <c:v>2.2999999999999998</c:v>
                      </c:pt>
                      <c:pt idx="13">
                        <c:v>2.35</c:v>
                      </c:pt>
                      <c:pt idx="14">
                        <c:v>2.4</c:v>
                      </c:pt>
                      <c:pt idx="15">
                        <c:v>2.4500000000000002</c:v>
                      </c:pt>
                      <c:pt idx="16">
                        <c:v>2.5</c:v>
                      </c:pt>
                      <c:pt idx="17">
                        <c:v>2.6</c:v>
                      </c:pt>
                      <c:pt idx="18">
                        <c:v>2.7</c:v>
                      </c:pt>
                      <c:pt idx="19">
                        <c:v>2.8</c:v>
                      </c:pt>
                      <c:pt idx="20">
                        <c:v>2.9</c:v>
                      </c:pt>
                      <c:pt idx="21">
                        <c:v>3</c:v>
                      </c:pt>
                      <c:pt idx="22">
                        <c:v>3.1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Sheet1!$B$5:$B$27</c15:sqref>
                        </c15:formulaRef>
                      </c:ext>
                    </c:extLst>
                    <c:numCache>
                      <c:formatCode>0.0000</c:formatCode>
                      <c:ptCount val="23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83C-45D2-8438-C5F4001329E5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Sheet1!$A$5:$A$27</c15:sqref>
                        </c15:formulaRef>
                      </c:ext>
                    </c:extLst>
                    <c:numCache>
                      <c:formatCode>0.0000</c:formatCode>
                      <c:ptCount val="23"/>
                      <c:pt idx="0">
                        <c:v>1.4</c:v>
                      </c:pt>
                      <c:pt idx="1">
                        <c:v>1.5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1.8</c:v>
                      </c:pt>
                      <c:pt idx="5">
                        <c:v>1.9</c:v>
                      </c:pt>
                      <c:pt idx="6">
                        <c:v>2</c:v>
                      </c:pt>
                      <c:pt idx="7">
                        <c:v>2.0499999999999998</c:v>
                      </c:pt>
                      <c:pt idx="8">
                        <c:v>2.1</c:v>
                      </c:pt>
                      <c:pt idx="9">
                        <c:v>2.15</c:v>
                      </c:pt>
                      <c:pt idx="10">
                        <c:v>2.2000000000000002</c:v>
                      </c:pt>
                      <c:pt idx="11">
                        <c:v>2.25</c:v>
                      </c:pt>
                      <c:pt idx="12">
                        <c:v>2.2999999999999998</c:v>
                      </c:pt>
                      <c:pt idx="13">
                        <c:v>2.35</c:v>
                      </c:pt>
                      <c:pt idx="14">
                        <c:v>2.4</c:v>
                      </c:pt>
                      <c:pt idx="15">
                        <c:v>2.4500000000000002</c:v>
                      </c:pt>
                      <c:pt idx="16">
                        <c:v>2.5</c:v>
                      </c:pt>
                      <c:pt idx="17">
                        <c:v>2.6</c:v>
                      </c:pt>
                      <c:pt idx="18">
                        <c:v>2.7</c:v>
                      </c:pt>
                      <c:pt idx="19">
                        <c:v>2.8</c:v>
                      </c:pt>
                      <c:pt idx="20">
                        <c:v>2.9</c:v>
                      </c:pt>
                      <c:pt idx="21">
                        <c:v>3</c:v>
                      </c:pt>
                      <c:pt idx="22">
                        <c:v>3.1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Sheet1!$F$5:$F$27</c15:sqref>
                        </c15:formulaRef>
                      </c:ext>
                    </c:extLst>
                    <c:numCache>
                      <c:formatCode>0.00</c:formatCode>
                      <c:ptCount val="23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283C-45D2-8438-C5F4001329E5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Sheet1!$A$5:$A$27</c15:sqref>
                        </c15:formulaRef>
                      </c:ext>
                    </c:extLst>
                    <c:numCache>
                      <c:formatCode>0.0000</c:formatCode>
                      <c:ptCount val="23"/>
                      <c:pt idx="0">
                        <c:v>1.4</c:v>
                      </c:pt>
                      <c:pt idx="1">
                        <c:v>1.5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1.8</c:v>
                      </c:pt>
                      <c:pt idx="5">
                        <c:v>1.9</c:v>
                      </c:pt>
                      <c:pt idx="6">
                        <c:v>2</c:v>
                      </c:pt>
                      <c:pt idx="7">
                        <c:v>2.0499999999999998</c:v>
                      </c:pt>
                      <c:pt idx="8">
                        <c:v>2.1</c:v>
                      </c:pt>
                      <c:pt idx="9">
                        <c:v>2.15</c:v>
                      </c:pt>
                      <c:pt idx="10">
                        <c:v>2.2000000000000002</c:v>
                      </c:pt>
                      <c:pt idx="11">
                        <c:v>2.25</c:v>
                      </c:pt>
                      <c:pt idx="12">
                        <c:v>2.2999999999999998</c:v>
                      </c:pt>
                      <c:pt idx="13">
                        <c:v>2.35</c:v>
                      </c:pt>
                      <c:pt idx="14">
                        <c:v>2.4</c:v>
                      </c:pt>
                      <c:pt idx="15">
                        <c:v>2.4500000000000002</c:v>
                      </c:pt>
                      <c:pt idx="16">
                        <c:v>2.5</c:v>
                      </c:pt>
                      <c:pt idx="17">
                        <c:v>2.6</c:v>
                      </c:pt>
                      <c:pt idx="18">
                        <c:v>2.7</c:v>
                      </c:pt>
                      <c:pt idx="19">
                        <c:v>2.8</c:v>
                      </c:pt>
                      <c:pt idx="20">
                        <c:v>2.9</c:v>
                      </c:pt>
                      <c:pt idx="21">
                        <c:v>3</c:v>
                      </c:pt>
                      <c:pt idx="22">
                        <c:v>3.1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Sheet1!$J$5:$J$27</c15:sqref>
                        </c15:formulaRef>
                      </c:ext>
                    </c:extLst>
                    <c:numCache>
                      <c:formatCode>0.000</c:formatCode>
                      <c:ptCount val="23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283C-45D2-8438-C5F4001329E5}"/>
                  </c:ext>
                </c:extLst>
              </c15:ser>
            </c15:filteredScatterSeries>
          </c:ext>
        </c:extLst>
      </c:scatterChart>
      <c:valAx>
        <c:axId val="145899551"/>
        <c:scaling>
          <c:orientation val="minMax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907231"/>
        <c:crosses val="autoZero"/>
        <c:crossBetween val="midCat"/>
      </c:valAx>
      <c:valAx>
        <c:axId val="14590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899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196850</xdr:colOff>
      <xdr:row>0</xdr:row>
      <xdr:rowOff>101600</xdr:rowOff>
    </xdr:from>
    <xdr:to>
      <xdr:col>21</xdr:col>
      <xdr:colOff>596900</xdr:colOff>
      <xdr:row>17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06A0CD1-F80A-F23B-1A1C-CD89C42F2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N21" sqref="N21"/>
    </sheetView>
  </sheetViews>
  <sheetFormatPr defaultRowHeight="14" x14ac:dyDescent="0.3"/>
  <cols>
    <col min="1" max="1" width="9.58203125" customWidth="1"/>
    <col min="2" max="2" width="10.33203125" customWidth="1"/>
    <col min="3" max="12" width="8.08203125" customWidth="1"/>
  </cols>
  <sheetData>
    <row r="1" spans="1:10" ht="20" customHeight="1" x14ac:dyDescent="0.3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0" customHeight="1" x14ac:dyDescent="0.3">
      <c r="A2" s="10"/>
      <c r="B2" s="10"/>
      <c r="C2" s="10" t="s">
        <v>17</v>
      </c>
      <c r="D2" s="10"/>
      <c r="E2" s="10"/>
      <c r="F2" s="10"/>
      <c r="G2" s="10"/>
      <c r="H2" s="10"/>
      <c r="I2" s="10"/>
      <c r="J2" s="10"/>
    </row>
    <row r="3" spans="1:10" ht="20" customHeight="1" x14ac:dyDescent="0.3">
      <c r="A3" s="10"/>
      <c r="B3" s="10"/>
      <c r="C3" s="10" t="s">
        <v>0</v>
      </c>
      <c r="D3" s="10"/>
      <c r="E3" s="10"/>
      <c r="F3" s="10"/>
      <c r="G3" s="10" t="s">
        <v>18</v>
      </c>
      <c r="H3" s="10"/>
      <c r="I3" s="10"/>
      <c r="J3" s="10"/>
    </row>
    <row r="4" spans="1:10" ht="24" customHeight="1" x14ac:dyDescent="0.3">
      <c r="A4" s="10"/>
      <c r="B4" s="10"/>
      <c r="C4" s="10" t="s">
        <v>1</v>
      </c>
      <c r="D4" s="10"/>
      <c r="E4" s="10" t="s">
        <v>25</v>
      </c>
      <c r="F4" s="10"/>
      <c r="G4" s="10" t="s">
        <v>2</v>
      </c>
      <c r="H4" s="10"/>
      <c r="I4" s="10" t="s">
        <v>26</v>
      </c>
      <c r="J4" s="10"/>
    </row>
    <row r="5" spans="1:10" ht="20" customHeight="1" x14ac:dyDescent="0.3">
      <c r="A5" s="9">
        <v>1.4</v>
      </c>
      <c r="B5" s="9"/>
      <c r="C5" s="10">
        <v>63</v>
      </c>
      <c r="D5" s="10"/>
      <c r="E5" s="13">
        <f>C5/100</f>
        <v>0.63</v>
      </c>
      <c r="F5" s="13"/>
      <c r="G5" s="10">
        <v>142</v>
      </c>
      <c r="H5" s="10"/>
      <c r="I5" s="14">
        <f>G5/216</f>
        <v>0.65740740740740744</v>
      </c>
      <c r="J5" s="14"/>
    </row>
    <row r="6" spans="1:10" ht="20" customHeight="1" x14ac:dyDescent="0.3">
      <c r="A6" s="9">
        <v>1.5</v>
      </c>
      <c r="B6" s="9"/>
      <c r="C6" s="10">
        <v>74</v>
      </c>
      <c r="D6" s="10"/>
      <c r="E6" s="13">
        <f t="shared" ref="E6:E27" si="0">C6/100</f>
        <v>0.74</v>
      </c>
      <c r="F6" s="13"/>
      <c r="G6" s="10">
        <v>157</v>
      </c>
      <c r="H6" s="10"/>
      <c r="I6" s="14">
        <f t="shared" ref="I6:I27" si="1">G6/216</f>
        <v>0.72685185185185186</v>
      </c>
      <c r="J6" s="14"/>
    </row>
    <row r="7" spans="1:10" ht="20" customHeight="1" x14ac:dyDescent="0.3">
      <c r="A7" s="9">
        <v>1.6</v>
      </c>
      <c r="B7" s="9"/>
      <c r="C7" s="10">
        <v>89</v>
      </c>
      <c r="D7" s="10"/>
      <c r="E7" s="13">
        <f t="shared" si="0"/>
        <v>0.89</v>
      </c>
      <c r="F7" s="13"/>
      <c r="G7" s="10">
        <v>188</v>
      </c>
      <c r="H7" s="10"/>
      <c r="I7" s="14">
        <f t="shared" si="1"/>
        <v>0.87037037037037035</v>
      </c>
      <c r="J7" s="14"/>
    </row>
    <row r="8" spans="1:10" ht="20" customHeight="1" x14ac:dyDescent="0.3">
      <c r="A8" s="9">
        <v>1.7</v>
      </c>
      <c r="B8" s="9"/>
      <c r="C8" s="10">
        <v>108</v>
      </c>
      <c r="D8" s="10"/>
      <c r="E8" s="13">
        <f t="shared" si="0"/>
        <v>1.08</v>
      </c>
      <c r="F8" s="13"/>
      <c r="G8" s="10">
        <v>227</v>
      </c>
      <c r="H8" s="10"/>
      <c r="I8" s="14">
        <f t="shared" si="1"/>
        <v>1.0509259259259258</v>
      </c>
      <c r="J8" s="14"/>
    </row>
    <row r="9" spans="1:10" ht="20" customHeight="1" x14ac:dyDescent="0.3">
      <c r="A9" s="9">
        <v>1.8</v>
      </c>
      <c r="B9" s="9"/>
      <c r="C9" s="10">
        <v>144</v>
      </c>
      <c r="D9" s="10"/>
      <c r="E9" s="13">
        <f t="shared" si="0"/>
        <v>1.44</v>
      </c>
      <c r="F9" s="13"/>
      <c r="G9" s="10">
        <v>280</v>
      </c>
      <c r="H9" s="10"/>
      <c r="I9" s="14">
        <f t="shared" si="1"/>
        <v>1.2962962962962963</v>
      </c>
      <c r="J9" s="14"/>
    </row>
    <row r="10" spans="1:10" ht="20" customHeight="1" x14ac:dyDescent="0.3">
      <c r="A10" s="9">
        <v>1.9</v>
      </c>
      <c r="B10" s="9"/>
      <c r="C10" s="10">
        <v>179</v>
      </c>
      <c r="D10" s="10"/>
      <c r="E10" s="13">
        <f t="shared" si="0"/>
        <v>1.79</v>
      </c>
      <c r="F10" s="13"/>
      <c r="G10" s="10">
        <v>350</v>
      </c>
      <c r="H10" s="10"/>
      <c r="I10" s="14">
        <f t="shared" si="1"/>
        <v>1.6203703703703705</v>
      </c>
      <c r="J10" s="14"/>
    </row>
    <row r="11" spans="1:10" ht="20" customHeight="1" x14ac:dyDescent="0.3">
      <c r="A11" s="9">
        <v>2</v>
      </c>
      <c r="B11" s="9"/>
      <c r="C11" s="10">
        <v>250</v>
      </c>
      <c r="D11" s="10"/>
      <c r="E11" s="13">
        <f t="shared" si="0"/>
        <v>2.5</v>
      </c>
      <c r="F11" s="13"/>
      <c r="G11" s="10">
        <v>460</v>
      </c>
      <c r="H11" s="10"/>
      <c r="I11" s="14">
        <f t="shared" si="1"/>
        <v>2.1296296296296298</v>
      </c>
      <c r="J11" s="14"/>
    </row>
    <row r="12" spans="1:10" ht="20" customHeight="1" x14ac:dyDescent="0.3">
      <c r="A12" s="9">
        <v>2.0499999999999998</v>
      </c>
      <c r="B12" s="9"/>
      <c r="C12" s="10">
        <v>309</v>
      </c>
      <c r="D12" s="10"/>
      <c r="E12" s="13">
        <f t="shared" si="0"/>
        <v>3.09</v>
      </c>
      <c r="F12" s="13"/>
      <c r="G12" s="10">
        <v>530</v>
      </c>
      <c r="H12" s="10"/>
      <c r="I12" s="14">
        <f t="shared" si="1"/>
        <v>2.4537037037037037</v>
      </c>
      <c r="J12" s="14"/>
    </row>
    <row r="13" spans="1:10" ht="20" customHeight="1" x14ac:dyDescent="0.3">
      <c r="A13" s="9">
        <v>2.1</v>
      </c>
      <c r="B13" s="9"/>
      <c r="C13" s="10">
        <v>380</v>
      </c>
      <c r="D13" s="10"/>
      <c r="E13" s="13">
        <f t="shared" si="0"/>
        <v>3.8</v>
      </c>
      <c r="F13" s="13"/>
      <c r="G13" s="10">
        <v>610</v>
      </c>
      <c r="H13" s="10"/>
      <c r="I13" s="14">
        <f t="shared" si="1"/>
        <v>2.824074074074074</v>
      </c>
      <c r="J13" s="14"/>
    </row>
    <row r="14" spans="1:10" ht="20" customHeight="1" x14ac:dyDescent="0.3">
      <c r="A14" s="9">
        <v>2.15</v>
      </c>
      <c r="B14" s="9"/>
      <c r="C14" s="10">
        <v>500</v>
      </c>
      <c r="D14" s="10"/>
      <c r="E14" s="13">
        <f t="shared" si="0"/>
        <v>5</v>
      </c>
      <c r="F14" s="13"/>
      <c r="G14" s="10">
        <v>690</v>
      </c>
      <c r="H14" s="10"/>
      <c r="I14" s="14">
        <f t="shared" si="1"/>
        <v>3.1944444444444446</v>
      </c>
      <c r="J14" s="14"/>
    </row>
    <row r="15" spans="1:10" ht="20" customHeight="1" x14ac:dyDescent="0.3">
      <c r="A15" s="9">
        <v>2.2000000000000002</v>
      </c>
      <c r="B15" s="9"/>
      <c r="C15" s="10">
        <v>630</v>
      </c>
      <c r="D15" s="10"/>
      <c r="E15" s="13">
        <f t="shared" si="0"/>
        <v>6.3</v>
      </c>
      <c r="F15" s="13"/>
      <c r="G15" s="10">
        <v>750</v>
      </c>
      <c r="H15" s="10"/>
      <c r="I15" s="14">
        <f t="shared" si="1"/>
        <v>3.4722222222222223</v>
      </c>
      <c r="J15" s="14"/>
    </row>
    <row r="16" spans="1:10" ht="20" customHeight="1" x14ac:dyDescent="0.3">
      <c r="A16" s="9">
        <v>2.25</v>
      </c>
      <c r="B16" s="9"/>
      <c r="C16" s="10">
        <v>690</v>
      </c>
      <c r="D16" s="10"/>
      <c r="E16" s="13">
        <f t="shared" si="0"/>
        <v>6.9</v>
      </c>
      <c r="F16" s="13"/>
      <c r="G16" s="10">
        <v>770</v>
      </c>
      <c r="H16" s="10"/>
      <c r="I16" s="14">
        <f t="shared" si="1"/>
        <v>3.5648148148148149</v>
      </c>
      <c r="J16" s="14"/>
    </row>
    <row r="17" spans="1:10" ht="20" customHeight="1" x14ac:dyDescent="0.3">
      <c r="A17" s="9">
        <v>2.2999999999999998</v>
      </c>
      <c r="B17" s="9"/>
      <c r="C17" s="10">
        <v>600</v>
      </c>
      <c r="D17" s="10"/>
      <c r="E17" s="13">
        <f t="shared" si="0"/>
        <v>6</v>
      </c>
      <c r="F17" s="13"/>
      <c r="G17" s="10">
        <v>740</v>
      </c>
      <c r="H17" s="10"/>
      <c r="I17" s="14">
        <f t="shared" si="1"/>
        <v>3.425925925925926</v>
      </c>
      <c r="J17" s="14"/>
    </row>
    <row r="18" spans="1:10" ht="20" customHeight="1" x14ac:dyDescent="0.3">
      <c r="A18" s="9">
        <v>2.35</v>
      </c>
      <c r="B18" s="9"/>
      <c r="C18" s="10">
        <v>480</v>
      </c>
      <c r="D18" s="10"/>
      <c r="E18" s="13">
        <f t="shared" si="0"/>
        <v>4.8</v>
      </c>
      <c r="F18" s="13"/>
      <c r="G18" s="10">
        <v>680</v>
      </c>
      <c r="H18" s="10"/>
      <c r="I18" s="14">
        <f t="shared" si="1"/>
        <v>3.1481481481481484</v>
      </c>
      <c r="J18" s="14"/>
    </row>
    <row r="19" spans="1:10" ht="20" customHeight="1" x14ac:dyDescent="0.3">
      <c r="A19" s="9">
        <v>2.4</v>
      </c>
      <c r="B19" s="9"/>
      <c r="C19" s="10">
        <v>380</v>
      </c>
      <c r="D19" s="10"/>
      <c r="E19" s="13">
        <f t="shared" si="0"/>
        <v>3.8</v>
      </c>
      <c r="F19" s="13"/>
      <c r="G19" s="10">
        <v>600</v>
      </c>
      <c r="H19" s="10"/>
      <c r="I19" s="14">
        <f t="shared" si="1"/>
        <v>2.7777777777777777</v>
      </c>
      <c r="J19" s="14"/>
    </row>
    <row r="20" spans="1:10" ht="20" customHeight="1" x14ac:dyDescent="0.3">
      <c r="A20" s="9">
        <v>2.4500000000000002</v>
      </c>
      <c r="B20" s="9"/>
      <c r="C20" s="10">
        <v>312</v>
      </c>
      <c r="D20" s="10"/>
      <c r="E20" s="13">
        <f t="shared" si="0"/>
        <v>3.12</v>
      </c>
      <c r="F20" s="13"/>
      <c r="G20" s="10">
        <v>540</v>
      </c>
      <c r="H20" s="10"/>
      <c r="I20" s="14">
        <f t="shared" si="1"/>
        <v>2.5</v>
      </c>
      <c r="J20" s="14"/>
    </row>
    <row r="21" spans="1:10" ht="20" customHeight="1" x14ac:dyDescent="0.3">
      <c r="A21" s="9">
        <v>2.5</v>
      </c>
      <c r="B21" s="9"/>
      <c r="C21" s="10">
        <v>261</v>
      </c>
      <c r="D21" s="10"/>
      <c r="E21" s="13">
        <f t="shared" si="0"/>
        <v>2.61</v>
      </c>
      <c r="F21" s="13"/>
      <c r="G21" s="10">
        <v>480</v>
      </c>
      <c r="H21" s="10"/>
      <c r="I21" s="14">
        <f t="shared" si="1"/>
        <v>2.2222222222222223</v>
      </c>
      <c r="J21" s="14"/>
    </row>
    <row r="22" spans="1:10" ht="20" customHeight="1" x14ac:dyDescent="0.3">
      <c r="A22" s="9">
        <v>2.6</v>
      </c>
      <c r="B22" s="9"/>
      <c r="C22" s="10">
        <v>199</v>
      </c>
      <c r="D22" s="10"/>
      <c r="E22" s="13">
        <f t="shared" si="0"/>
        <v>1.99</v>
      </c>
      <c r="F22" s="13"/>
      <c r="G22" s="10">
        <v>380</v>
      </c>
      <c r="H22" s="10"/>
      <c r="I22" s="14">
        <f t="shared" si="1"/>
        <v>1.7592592592592593</v>
      </c>
      <c r="J22" s="14"/>
    </row>
    <row r="23" spans="1:10" ht="20" customHeight="1" x14ac:dyDescent="0.3">
      <c r="A23" s="9">
        <v>2.7</v>
      </c>
      <c r="B23" s="9"/>
      <c r="C23" s="10">
        <v>160</v>
      </c>
      <c r="D23" s="10"/>
      <c r="E23" s="13">
        <f t="shared" si="0"/>
        <v>1.6</v>
      </c>
      <c r="F23" s="13"/>
      <c r="G23" s="10">
        <v>324</v>
      </c>
      <c r="H23" s="10"/>
      <c r="I23" s="14">
        <f t="shared" si="1"/>
        <v>1.5</v>
      </c>
      <c r="J23" s="14"/>
    </row>
    <row r="24" spans="1:10" ht="20" customHeight="1" x14ac:dyDescent="0.3">
      <c r="A24" s="9">
        <v>2.8</v>
      </c>
      <c r="B24" s="9"/>
      <c r="C24" s="10">
        <v>132</v>
      </c>
      <c r="D24" s="10"/>
      <c r="E24" s="13">
        <f t="shared" si="0"/>
        <v>1.32</v>
      </c>
      <c r="F24" s="13"/>
      <c r="G24" s="10">
        <v>268</v>
      </c>
      <c r="H24" s="10"/>
      <c r="I24" s="14">
        <f t="shared" si="1"/>
        <v>1.2407407407407407</v>
      </c>
      <c r="J24" s="14"/>
    </row>
    <row r="25" spans="1:10" ht="20" customHeight="1" x14ac:dyDescent="0.3">
      <c r="A25" s="9">
        <v>2.9</v>
      </c>
      <c r="B25" s="9"/>
      <c r="C25" s="10">
        <v>113</v>
      </c>
      <c r="D25" s="10"/>
      <c r="E25" s="13">
        <f t="shared" si="0"/>
        <v>1.1299999999999999</v>
      </c>
      <c r="F25" s="13"/>
      <c r="G25" s="10">
        <v>241</v>
      </c>
      <c r="H25" s="10"/>
      <c r="I25" s="14">
        <f t="shared" si="1"/>
        <v>1.1157407407407407</v>
      </c>
      <c r="J25" s="14"/>
    </row>
    <row r="26" spans="1:10" ht="20" customHeight="1" x14ac:dyDescent="0.3">
      <c r="A26" s="9">
        <v>3</v>
      </c>
      <c r="B26" s="9"/>
      <c r="C26" s="10">
        <v>103</v>
      </c>
      <c r="D26" s="10"/>
      <c r="E26" s="13">
        <f t="shared" si="0"/>
        <v>1.03</v>
      </c>
      <c r="F26" s="13"/>
      <c r="G26" s="10">
        <v>215</v>
      </c>
      <c r="H26" s="10"/>
      <c r="I26" s="14">
        <f t="shared" si="1"/>
        <v>0.99537037037037035</v>
      </c>
      <c r="J26" s="14"/>
    </row>
    <row r="27" spans="1:10" ht="20" customHeight="1" x14ac:dyDescent="0.3">
      <c r="A27" s="9">
        <v>3.1</v>
      </c>
      <c r="B27" s="9"/>
      <c r="C27" s="10">
        <v>93</v>
      </c>
      <c r="D27" s="10"/>
      <c r="E27" s="13">
        <f t="shared" si="0"/>
        <v>0.93</v>
      </c>
      <c r="F27" s="13"/>
      <c r="G27" s="10">
        <v>194</v>
      </c>
      <c r="H27" s="10"/>
      <c r="I27" s="14">
        <f t="shared" si="1"/>
        <v>0.89814814814814814</v>
      </c>
      <c r="J27" s="14"/>
    </row>
    <row r="28" spans="1:10" ht="15" customHeight="1" x14ac:dyDescent="0.3"/>
    <row r="29" spans="1:10" ht="13.5" customHeight="1" x14ac:dyDescent="0.3">
      <c r="A29" s="10" t="s">
        <v>27</v>
      </c>
      <c r="B29" s="10"/>
      <c r="C29" s="10"/>
      <c r="D29" s="10"/>
      <c r="E29" s="10"/>
      <c r="F29" s="10"/>
      <c r="G29" s="10"/>
    </row>
    <row r="30" spans="1:10" ht="49.5" customHeight="1" x14ac:dyDescent="0.3">
      <c r="A30" s="10"/>
      <c r="B30" s="10"/>
      <c r="C30" s="6" t="s">
        <v>19</v>
      </c>
      <c r="D30" s="6" t="s">
        <v>20</v>
      </c>
      <c r="E30" s="6" t="s">
        <v>21</v>
      </c>
      <c r="F30" s="6" t="s">
        <v>22</v>
      </c>
      <c r="G30" s="6" t="s">
        <v>23</v>
      </c>
    </row>
    <row r="31" spans="1:10" ht="25" customHeight="1" x14ac:dyDescent="0.3">
      <c r="A31" s="11" t="s">
        <v>24</v>
      </c>
      <c r="B31" s="1" t="s">
        <v>0</v>
      </c>
      <c r="C31" s="2">
        <v>2.2490000000000001</v>
      </c>
      <c r="D31" s="2">
        <v>2.23</v>
      </c>
      <c r="E31" s="2">
        <v>2.2389999999999999</v>
      </c>
      <c r="F31" s="8">
        <v>10.1</v>
      </c>
      <c r="G31" s="8">
        <v>8.6</v>
      </c>
    </row>
    <row r="32" spans="1:10" ht="25" customHeight="1" x14ac:dyDescent="0.3">
      <c r="A32" s="12"/>
      <c r="B32" s="1" t="s">
        <v>28</v>
      </c>
      <c r="C32" s="2">
        <v>2.2589999999999999</v>
      </c>
      <c r="D32" s="2">
        <v>2.1989999999999998</v>
      </c>
      <c r="E32" s="2">
        <v>2.2400000000000002</v>
      </c>
      <c r="F32" s="8">
        <v>5.4</v>
      </c>
      <c r="G32" s="8">
        <v>5</v>
      </c>
    </row>
    <row r="33" spans="1:11" ht="16" customHeight="1" x14ac:dyDescent="0.3"/>
    <row r="34" spans="1:11" ht="16" customHeight="1" x14ac:dyDescent="0.3">
      <c r="A34" s="10" t="s">
        <v>16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0" customHeight="1" x14ac:dyDescent="0.3">
      <c r="A35" s="10"/>
      <c r="B35" s="10"/>
      <c r="C35" s="9" t="s">
        <v>8</v>
      </c>
      <c r="D35" s="9"/>
      <c r="E35" s="9"/>
      <c r="F35" s="9"/>
      <c r="G35" s="9" t="s">
        <v>9</v>
      </c>
      <c r="H35" s="9"/>
      <c r="I35" s="9"/>
      <c r="J35" s="10" t="s">
        <v>10</v>
      </c>
      <c r="K35" s="10"/>
    </row>
    <row r="36" spans="1:11" ht="54" customHeight="1" x14ac:dyDescent="0.3">
      <c r="A36" s="10"/>
      <c r="B36" s="10"/>
      <c r="C36" s="5" t="s">
        <v>4</v>
      </c>
      <c r="D36" s="6" t="s">
        <v>5</v>
      </c>
      <c r="E36" s="6" t="s">
        <v>6</v>
      </c>
      <c r="F36" s="6" t="s">
        <v>7</v>
      </c>
      <c r="G36" s="6" t="s">
        <v>11</v>
      </c>
      <c r="H36" s="7" t="s">
        <v>12</v>
      </c>
      <c r="I36" s="7" t="s">
        <v>13</v>
      </c>
      <c r="J36" s="7" t="s">
        <v>14</v>
      </c>
      <c r="K36" s="7" t="s">
        <v>15</v>
      </c>
    </row>
    <row r="37" spans="1:11" ht="30" customHeight="1" x14ac:dyDescent="0.3">
      <c r="A37" s="15" t="s">
        <v>29</v>
      </c>
      <c r="B37" s="5" t="s">
        <v>30</v>
      </c>
      <c r="C37" s="2"/>
      <c r="D37" s="1"/>
      <c r="E37" s="1"/>
      <c r="F37" s="1"/>
      <c r="G37" s="1"/>
      <c r="H37" s="1"/>
      <c r="I37" s="1"/>
      <c r="J37" s="1"/>
      <c r="K37" s="1"/>
    </row>
    <row r="38" spans="1:11" ht="30" customHeight="1" x14ac:dyDescent="0.3">
      <c r="A38" s="15"/>
      <c r="B38" s="5" t="s">
        <v>31</v>
      </c>
      <c r="C38" s="2"/>
      <c r="D38" s="1"/>
      <c r="E38" s="1"/>
      <c r="F38" s="1"/>
      <c r="G38" s="1"/>
      <c r="H38" s="1"/>
      <c r="I38" s="1"/>
      <c r="J38" s="1"/>
      <c r="K38" s="1"/>
    </row>
    <row r="39" spans="1:11" x14ac:dyDescent="0.3">
      <c r="B39" s="3"/>
      <c r="C39" s="3"/>
      <c r="D39" s="4"/>
      <c r="E39" s="4"/>
      <c r="F39" s="4"/>
      <c r="G39" s="4"/>
      <c r="H39" s="4"/>
      <c r="I39" s="4"/>
      <c r="J39" s="4"/>
    </row>
    <row r="40" spans="1:11" x14ac:dyDescent="0.3">
      <c r="B40" s="3"/>
      <c r="C40" s="3"/>
      <c r="D40" s="4"/>
      <c r="E40" s="4"/>
      <c r="F40" s="4"/>
      <c r="G40" s="4"/>
      <c r="H40" s="4"/>
      <c r="I40" s="4"/>
      <c r="J40" s="4"/>
    </row>
  </sheetData>
  <mergeCells count="133">
    <mergeCell ref="A37:A38"/>
    <mergeCell ref="C22:D22"/>
    <mergeCell ref="C23:D23"/>
    <mergeCell ref="C24:D24"/>
    <mergeCell ref="C25:D25"/>
    <mergeCell ref="C26:D26"/>
    <mergeCell ref="C27:D27"/>
    <mergeCell ref="I23:J23"/>
    <mergeCell ref="I24:J24"/>
    <mergeCell ref="I25:J25"/>
    <mergeCell ref="I26:J26"/>
    <mergeCell ref="I27:J27"/>
    <mergeCell ref="G26:H26"/>
    <mergeCell ref="E27:F27"/>
    <mergeCell ref="A23:B23"/>
    <mergeCell ref="A24:B24"/>
    <mergeCell ref="A25:B25"/>
    <mergeCell ref="A26:B26"/>
    <mergeCell ref="A27:B27"/>
    <mergeCell ref="A29:G29"/>
    <mergeCell ref="C21:D21"/>
    <mergeCell ref="C10:D10"/>
    <mergeCell ref="C11:D11"/>
    <mergeCell ref="C12:D12"/>
    <mergeCell ref="C13:D13"/>
    <mergeCell ref="C14:D14"/>
    <mergeCell ref="C15:D15"/>
    <mergeCell ref="A34:K34"/>
    <mergeCell ref="A35:B36"/>
    <mergeCell ref="C35:F35"/>
    <mergeCell ref="G35:I35"/>
    <mergeCell ref="J35:K35"/>
    <mergeCell ref="C9:D9"/>
    <mergeCell ref="I17:J17"/>
    <mergeCell ref="I18:J18"/>
    <mergeCell ref="I19:J19"/>
    <mergeCell ref="I20:J20"/>
    <mergeCell ref="G8:H8"/>
    <mergeCell ref="G9:H9"/>
    <mergeCell ref="G10:H10"/>
    <mergeCell ref="E9:F9"/>
    <mergeCell ref="E10:F10"/>
    <mergeCell ref="E11:F11"/>
    <mergeCell ref="E12:F12"/>
    <mergeCell ref="E13:F13"/>
    <mergeCell ref="E14:F14"/>
    <mergeCell ref="C16:D16"/>
    <mergeCell ref="C17:D17"/>
    <mergeCell ref="C18:D18"/>
    <mergeCell ref="C19:D19"/>
    <mergeCell ref="C20:D20"/>
    <mergeCell ref="I11:J11"/>
    <mergeCell ref="I12:J12"/>
    <mergeCell ref="I13:J13"/>
    <mergeCell ref="I14:J14"/>
    <mergeCell ref="I15:J15"/>
    <mergeCell ref="I16:J16"/>
    <mergeCell ref="G25:H25"/>
    <mergeCell ref="G11:H11"/>
    <mergeCell ref="G12:H12"/>
    <mergeCell ref="G27:H27"/>
    <mergeCell ref="I5:J5"/>
    <mergeCell ref="I6:J6"/>
    <mergeCell ref="I7:J7"/>
    <mergeCell ref="I8:J8"/>
    <mergeCell ref="I9:J9"/>
    <mergeCell ref="I10:J10"/>
    <mergeCell ref="G19:H19"/>
    <mergeCell ref="G20:H20"/>
    <mergeCell ref="G21:H21"/>
    <mergeCell ref="G22:H22"/>
    <mergeCell ref="G23:H23"/>
    <mergeCell ref="G24:H24"/>
    <mergeCell ref="G13:H13"/>
    <mergeCell ref="G14:H14"/>
    <mergeCell ref="G15:H15"/>
    <mergeCell ref="G16:H16"/>
    <mergeCell ref="G17:H17"/>
    <mergeCell ref="G18:H18"/>
    <mergeCell ref="G5:H5"/>
    <mergeCell ref="G6:H6"/>
    <mergeCell ref="G7:H7"/>
    <mergeCell ref="I21:J21"/>
    <mergeCell ref="I22:J22"/>
    <mergeCell ref="E21:F21"/>
    <mergeCell ref="E22:F22"/>
    <mergeCell ref="E23:F23"/>
    <mergeCell ref="E24:F24"/>
    <mergeCell ref="E25:F25"/>
    <mergeCell ref="E26:F26"/>
    <mergeCell ref="E15:F15"/>
    <mergeCell ref="E16:F16"/>
    <mergeCell ref="E17:F17"/>
    <mergeCell ref="E18:F18"/>
    <mergeCell ref="E19:F19"/>
    <mergeCell ref="E20:F20"/>
    <mergeCell ref="A1:J1"/>
    <mergeCell ref="C2:J2"/>
    <mergeCell ref="C3:F3"/>
    <mergeCell ref="G3:J3"/>
    <mergeCell ref="E4:F4"/>
    <mergeCell ref="E5:F5"/>
    <mergeCell ref="E6:F6"/>
    <mergeCell ref="E7:F7"/>
    <mergeCell ref="E8:F8"/>
    <mergeCell ref="C4:D4"/>
    <mergeCell ref="A5:B5"/>
    <mergeCell ref="A6:B6"/>
    <mergeCell ref="A7:B7"/>
    <mergeCell ref="A8:B8"/>
    <mergeCell ref="I4:J4"/>
    <mergeCell ref="G4:H4"/>
    <mergeCell ref="C5:D5"/>
    <mergeCell ref="C6:D6"/>
    <mergeCell ref="C7:D7"/>
    <mergeCell ref="C8:D8"/>
    <mergeCell ref="A9:B9"/>
    <mergeCell ref="A10:B10"/>
    <mergeCell ref="A2:B4"/>
    <mergeCell ref="A30:B30"/>
    <mergeCell ref="A31:A32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</mergeCells>
  <phoneticPr fontId="1" type="noConversion"/>
  <pageMargins left="0.23622047244094491" right="0.23622047244094491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zhanghanbin</dc:creator>
  <cp:lastModifiedBy>涵斌 张</cp:lastModifiedBy>
  <cp:lastPrinted>2024-04-15T14:52:22Z</cp:lastPrinted>
  <dcterms:created xsi:type="dcterms:W3CDTF">2015-06-05T18:19:34Z</dcterms:created>
  <dcterms:modified xsi:type="dcterms:W3CDTF">2024-04-15T14:54:11Z</dcterms:modified>
</cp:coreProperties>
</file>