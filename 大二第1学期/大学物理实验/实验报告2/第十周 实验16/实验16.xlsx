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zhanghanbin\Desktop\学习\大一下\大物实验\第十周 实验16\"/>
    </mc:Choice>
  </mc:AlternateContent>
  <xr:revisionPtr revIDLastSave="0" documentId="13_ncr:1_{D31F0DC3-87D8-41E6-BB8E-61F17D3807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" l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C27" i="1"/>
  <c r="C28" i="1"/>
  <c r="C29" i="1"/>
  <c r="F29" i="1" s="1"/>
  <c r="G29" i="1" s="1"/>
  <c r="C30" i="1"/>
  <c r="F30" i="1" s="1"/>
  <c r="G30" i="1" s="1"/>
  <c r="C31" i="1"/>
  <c r="F31" i="1" s="1"/>
  <c r="G31" i="1" s="1"/>
  <c r="C32" i="1"/>
  <c r="F32" i="1" s="1"/>
  <c r="G32" i="1" s="1"/>
  <c r="C33" i="1"/>
  <c r="F33" i="1" s="1"/>
  <c r="G33" i="1" s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F49" i="1" s="1"/>
  <c r="G49" i="1" s="1"/>
  <c r="C50" i="1"/>
  <c r="F50" i="1" s="1"/>
  <c r="G50" i="1" s="1"/>
  <c r="C51" i="1"/>
  <c r="F51" i="1" s="1"/>
  <c r="G51" i="1" s="1"/>
  <c r="C52" i="1"/>
  <c r="F52" i="1" s="1"/>
  <c r="G52" i="1" s="1"/>
  <c r="C53" i="1"/>
  <c r="F53" i="1" s="1"/>
  <c r="G53" i="1" s="1"/>
  <c r="C54" i="1"/>
  <c r="C55" i="1"/>
  <c r="C26" i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15" i="1"/>
  <c r="G15" i="1" s="1"/>
  <c r="F5" i="1"/>
  <c r="F6" i="1"/>
  <c r="F7" i="1"/>
  <c r="F8" i="1"/>
  <c r="F9" i="1"/>
  <c r="F10" i="1"/>
  <c r="F4" i="1"/>
  <c r="F39" i="1" l="1"/>
  <c r="G39" i="1" s="1"/>
  <c r="F38" i="1"/>
  <c r="G38" i="1" s="1"/>
  <c r="F37" i="1"/>
  <c r="G37" i="1" s="1"/>
  <c r="F36" i="1"/>
  <c r="G36" i="1" s="1"/>
  <c r="F55" i="1"/>
  <c r="G55" i="1" s="1"/>
  <c r="F35" i="1"/>
  <c r="G35" i="1" s="1"/>
  <c r="F54" i="1"/>
  <c r="G54" i="1" s="1"/>
  <c r="F34" i="1"/>
  <c r="G34" i="1" s="1"/>
  <c r="F26" i="1"/>
  <c r="G26" i="1" s="1"/>
  <c r="F48" i="1"/>
  <c r="G48" i="1" s="1"/>
  <c r="F28" i="1"/>
  <c r="G28" i="1" s="1"/>
  <c r="F47" i="1"/>
  <c r="G47" i="1" s="1"/>
  <c r="F27" i="1"/>
  <c r="G2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</calcChain>
</file>

<file path=xl/sharedStrings.xml><?xml version="1.0" encoding="utf-8"?>
<sst xmlns="http://schemas.openxmlformats.org/spreadsheetml/2006/main" count="31" uniqueCount="18">
  <si>
    <t>控制电流Is(mA)</t>
    <phoneticPr fontId="1" type="noConversion"/>
  </si>
  <si>
    <t>电压(mV)</t>
  </si>
  <si>
    <t>电压(mV)</t>
    <phoneticPr fontId="1" type="noConversion"/>
  </si>
  <si>
    <t>励磁电流Im(mA)</t>
    <phoneticPr fontId="1" type="noConversion"/>
  </si>
  <si>
    <t>霍尔元件位置(mm)</t>
    <phoneticPr fontId="1" type="noConversion"/>
  </si>
  <si>
    <r>
      <t>U</t>
    </r>
    <r>
      <rPr>
        <sz val="6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2"/>
        <scheme val="minor"/>
      </rPr>
      <t>=(U</t>
    </r>
    <r>
      <rPr>
        <sz val="6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>-U</t>
    </r>
    <r>
      <rPr>
        <sz val="6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+U</t>
    </r>
    <r>
      <rPr>
        <sz val="6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-U</t>
    </r>
    <r>
      <rPr>
        <sz val="6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)/4</t>
    </r>
    <phoneticPr fontId="1" type="noConversion"/>
  </si>
  <si>
    <t>磁场(T)</t>
    <phoneticPr fontId="1" type="noConversion"/>
  </si>
  <si>
    <r>
      <t>B=U</t>
    </r>
    <r>
      <rPr>
        <sz val="6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2"/>
        <scheme val="minor"/>
      </rPr>
      <t>/K</t>
    </r>
    <r>
      <rPr>
        <sz val="6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3"/>
        <charset val="134"/>
        <scheme val="minor"/>
      </rPr>
      <t>*</t>
    </r>
    <r>
      <rPr>
        <sz val="11"/>
        <color theme="1"/>
        <rFont val="等线"/>
        <family val="2"/>
        <scheme val="minor"/>
      </rPr>
      <t>I</t>
    </r>
    <r>
      <rPr>
        <sz val="6"/>
        <color theme="1"/>
        <rFont val="等线"/>
        <family val="3"/>
        <charset val="134"/>
        <scheme val="minor"/>
      </rPr>
      <t>S</t>
    </r>
    <phoneticPr fontId="1" type="noConversion"/>
  </si>
  <si>
    <r>
      <t>I</t>
    </r>
    <r>
      <rPr>
        <sz val="9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2"/>
        <scheme val="minor"/>
      </rPr>
      <t>=5.00mA</t>
    </r>
    <phoneticPr fontId="1" type="noConversion"/>
  </si>
  <si>
    <r>
      <t>I</t>
    </r>
    <r>
      <rPr>
        <sz val="9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=600mA</t>
    </r>
    <phoneticPr fontId="1" type="noConversion"/>
  </si>
  <si>
    <r>
      <t>U</t>
    </r>
    <r>
      <rPr>
        <sz val="6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>(+I</t>
    </r>
    <r>
      <rPr>
        <sz val="9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,+I</t>
    </r>
    <r>
      <rPr>
        <sz val="9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</si>
  <si>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U</t>
    </r>
    <r>
      <rPr>
        <sz val="6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(+I</t>
    </r>
    <r>
      <rPr>
        <sz val="9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,-I</t>
    </r>
    <r>
      <rPr>
        <sz val="9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</si>
  <si>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U</t>
    </r>
    <r>
      <rPr>
        <sz val="6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(-I</t>
    </r>
    <r>
      <rPr>
        <sz val="9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,-I</t>
    </r>
    <r>
      <rPr>
        <sz val="9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</si>
  <si>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U</t>
    </r>
    <r>
      <rPr>
        <sz val="6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(-I</t>
    </r>
    <r>
      <rPr>
        <sz val="9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,+I</t>
    </r>
    <r>
      <rPr>
        <sz val="9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2"/>
        <scheme val="minor"/>
      </rPr>
      <t>)</t>
    </r>
    <phoneticPr fontId="1" type="noConversion"/>
  </si>
  <si>
    <r>
      <t>K</t>
    </r>
    <r>
      <rPr>
        <sz val="6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2"/>
        <scheme val="minor"/>
      </rPr>
      <t>=24mV(mA*T)</t>
    </r>
    <r>
      <rPr>
        <sz val="9"/>
        <color theme="1"/>
        <rFont val="等线"/>
        <family val="3"/>
        <charset val="134"/>
        <scheme val="minor"/>
      </rPr>
      <t>-1</t>
    </r>
    <phoneticPr fontId="1" type="noConversion"/>
  </si>
  <si>
    <r>
      <t>U</t>
    </r>
    <r>
      <rPr>
        <sz val="6"/>
        <color theme="1"/>
        <rFont val="等线"/>
        <family val="3"/>
        <charset val="134"/>
        <scheme val="minor"/>
      </rPr>
      <t>H</t>
    </r>
    <r>
      <rPr>
        <sz val="11"/>
        <color theme="1"/>
        <rFont val="等线"/>
        <family val="2"/>
        <scheme val="minor"/>
      </rPr>
      <t>-I</t>
    </r>
    <r>
      <rPr>
        <sz val="9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分布表</t>
    </r>
    <phoneticPr fontId="1" type="noConversion"/>
  </si>
  <si>
    <r>
      <t>B-I</t>
    </r>
    <r>
      <rPr>
        <sz val="9"/>
        <color theme="1"/>
        <rFont val="等线"/>
        <family val="3"/>
        <charset val="134"/>
        <scheme val="minor"/>
      </rPr>
      <t>m</t>
    </r>
    <r>
      <rPr>
        <sz val="11"/>
        <color theme="1"/>
        <rFont val="等线"/>
        <family val="2"/>
        <scheme val="minor"/>
      </rPr>
      <t>分布表</t>
    </r>
    <phoneticPr fontId="1" type="noConversion"/>
  </si>
  <si>
    <t>B-X分布表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</si>
</sst>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83" formatCode="0.000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</a:t>
            </a:r>
            <a:r>
              <a:rPr lang="en-US" altLang="zh-CN" sz="900"/>
              <a:t>H</a:t>
            </a:r>
            <a:r>
              <a:rPr lang="en-US" altLang="zh-CN"/>
              <a:t>-I</a:t>
            </a:r>
            <a:r>
              <a:rPr lang="en-US" altLang="zh-CN" sz="1100"/>
              <a:t>s</a:t>
            </a:r>
            <a:r>
              <a:rPr lang="zh-CN" altLang="en-US"/>
              <a:t>特性曲线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06364829396326"/>
                  <c:y val="-0.171134441528142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Sheet1!$A$4:$A$10</c:f>
              <c:numCache>
                <c:formatCode>0.00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Sheet1!$F$4:$F$10</c:f>
              <c:numCache>
                <c:formatCode>0.0</c:formatCode>
                <c:ptCount val="7"/>
                <c:pt idx="0">
                  <c:v>0</c:v>
                </c:pt>
                <c:pt idx="1">
                  <c:v>3.6</c:v>
                </c:pt>
                <c:pt idx="2">
                  <c:v>7.3</c:v>
                </c:pt>
                <c:pt idx="3">
                  <c:v>10.9</c:v>
                </c:pt>
                <c:pt idx="4">
                  <c:v>14.5</c:v>
                </c:pt>
                <c:pt idx="5">
                  <c:v>18.149999999999999</c:v>
                </c:pt>
                <c:pt idx="6">
                  <c:v>21.8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01-4F9B-A1C7-5EA04F6E7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106144"/>
        <c:axId val="544120544"/>
      </c:scatterChart>
      <c:valAx>
        <c:axId val="54410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20544"/>
        <c:crosses val="autoZero"/>
        <c:crossBetween val="midCat"/>
      </c:valAx>
      <c:valAx>
        <c:axId val="54412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0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B-I</a:t>
            </a:r>
            <a:r>
              <a:rPr lang="en-US" altLang="zh-CN" sz="1100"/>
              <a:t>m</a:t>
            </a:r>
            <a:r>
              <a:rPr lang="zh-CN" altLang="en-US"/>
              <a:t>励磁特性曲线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856583552055993"/>
                  <c:y val="-0.171134441528142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Sheet1!$A$15:$A$21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</c:numCache>
            </c:numRef>
          </c:xVal>
          <c:yVal>
            <c:numRef>
              <c:f>Sheet1!$G$15:$G$21</c:f>
              <c:numCache>
                <c:formatCode>0.000</c:formatCode>
                <c:ptCount val="7"/>
                <c:pt idx="0">
                  <c:v>0</c:v>
                </c:pt>
                <c:pt idx="1">
                  <c:v>2.5833333333333333E-2</c:v>
                </c:pt>
                <c:pt idx="2">
                  <c:v>5.0833333333333328E-2</c:v>
                </c:pt>
                <c:pt idx="3">
                  <c:v>7.6666666666666661E-2</c:v>
                </c:pt>
                <c:pt idx="4">
                  <c:v>0.10166666666666666</c:v>
                </c:pt>
                <c:pt idx="5">
                  <c:v>0.12666666666666665</c:v>
                </c:pt>
                <c:pt idx="6">
                  <c:v>0.15083333333333335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E2-43C7-BE18-B804F2656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115744"/>
        <c:axId val="544106144"/>
      </c:scatterChart>
      <c:valAx>
        <c:axId val="54411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06144"/>
        <c:crosses val="autoZero"/>
        <c:crossBetween val="midCat"/>
      </c:valAx>
      <c:valAx>
        <c:axId val="54410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11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B-X</a:t>
            </a:r>
            <a:r>
              <a:rPr lang="zh-CN" altLang="en-US"/>
              <a:t>磁场分布曲线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Sheet1!$A$26:$A$55</c:f>
              <c:numCache>
                <c:formatCode>General</c:formatCode>
                <c:ptCount val="30"/>
                <c:pt idx="0">
                  <c:v>-29</c:v>
                </c:pt>
                <c:pt idx="1">
                  <c:v>-27</c:v>
                </c:pt>
                <c:pt idx="2">
                  <c:v>-25</c:v>
                </c:pt>
                <c:pt idx="3">
                  <c:v>-23</c:v>
                </c:pt>
                <c:pt idx="4">
                  <c:v>-21</c:v>
                </c:pt>
                <c:pt idx="5">
                  <c:v>-19</c:v>
                </c:pt>
                <c:pt idx="6">
                  <c:v>-17</c:v>
                </c:pt>
                <c:pt idx="7">
                  <c:v>-15</c:v>
                </c:pt>
                <c:pt idx="8">
                  <c:v>-13</c:v>
                </c:pt>
                <c:pt idx="9">
                  <c:v>-11</c:v>
                </c:pt>
                <c:pt idx="10">
                  <c:v>-9</c:v>
                </c:pt>
                <c:pt idx="11">
                  <c:v>-7</c:v>
                </c:pt>
                <c:pt idx="12">
                  <c:v>-5</c:v>
                </c:pt>
                <c:pt idx="13">
                  <c:v>-3</c:v>
                </c:pt>
                <c:pt idx="14">
                  <c:v>-1</c:v>
                </c:pt>
                <c:pt idx="15">
                  <c:v>1</c:v>
                </c:pt>
                <c:pt idx="16">
                  <c:v>3</c:v>
                </c:pt>
                <c:pt idx="17">
                  <c:v>5</c:v>
                </c:pt>
                <c:pt idx="18">
                  <c:v>7</c:v>
                </c:pt>
                <c:pt idx="19">
                  <c:v>9</c:v>
                </c:pt>
                <c:pt idx="20">
                  <c:v>11</c:v>
                </c:pt>
                <c:pt idx="21">
                  <c:v>13</c:v>
                </c:pt>
                <c:pt idx="22">
                  <c:v>15</c:v>
                </c:pt>
                <c:pt idx="23">
                  <c:v>17</c:v>
                </c:pt>
                <c:pt idx="24">
                  <c:v>19</c:v>
                </c:pt>
                <c:pt idx="25">
                  <c:v>21</c:v>
                </c:pt>
                <c:pt idx="26">
                  <c:v>23</c:v>
                </c:pt>
                <c:pt idx="27">
                  <c:v>25</c:v>
                </c:pt>
                <c:pt idx="28">
                  <c:v>27</c:v>
                </c:pt>
                <c:pt idx="29">
                  <c:v>29</c:v>
                </c:pt>
              </c:numCache>
            </c:numRef>
          </c:xVal>
          <c:yVal>
            <c:numRef>
              <c:f>Sheet1!$G$26:$G$55</c:f>
              <c:numCache>
                <c:formatCode>0.000</c:formatCode>
                <c:ptCount val="30"/>
                <c:pt idx="0">
                  <c:v>6.5833333333333341E-2</c:v>
                </c:pt>
                <c:pt idx="1">
                  <c:v>8.4166666666666667E-2</c:v>
                </c:pt>
                <c:pt idx="2">
                  <c:v>0.11583333333333333</c:v>
                </c:pt>
                <c:pt idx="3">
                  <c:v>0.14166666666666666</c:v>
                </c:pt>
                <c:pt idx="4">
                  <c:v>0.14666666666666667</c:v>
                </c:pt>
                <c:pt idx="5">
                  <c:v>0.14749999999999999</c:v>
                </c:pt>
                <c:pt idx="6">
                  <c:v>0.14749999999999999</c:v>
                </c:pt>
                <c:pt idx="7">
                  <c:v>0.14833333333333334</c:v>
                </c:pt>
                <c:pt idx="8">
                  <c:v>0.14833333333333334</c:v>
                </c:pt>
                <c:pt idx="9">
                  <c:v>0.14833333333333334</c:v>
                </c:pt>
                <c:pt idx="10">
                  <c:v>0.14916666666666664</c:v>
                </c:pt>
                <c:pt idx="11">
                  <c:v>0.14916666666666664</c:v>
                </c:pt>
                <c:pt idx="12">
                  <c:v>0.14916666666666664</c:v>
                </c:pt>
                <c:pt idx="13">
                  <c:v>0.14916666666666664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0.15083333333333335</c:v>
                </c:pt>
                <c:pt idx="21">
                  <c:v>0.15083333333333335</c:v>
                </c:pt>
                <c:pt idx="22">
                  <c:v>0.14749999999999999</c:v>
                </c:pt>
                <c:pt idx="23">
                  <c:v>0.1075</c:v>
                </c:pt>
                <c:pt idx="24">
                  <c:v>7.7499999999999999E-2</c:v>
                </c:pt>
                <c:pt idx="25">
                  <c:v>6.083333333333333E-2</c:v>
                </c:pt>
                <c:pt idx="26">
                  <c:v>5.2499999999999998E-2</c:v>
                </c:pt>
                <c:pt idx="27">
                  <c:v>4.6666666666666662E-2</c:v>
                </c:pt>
                <c:pt idx="28">
                  <c:v>4.1666666666666664E-2</c:v>
                </c:pt>
                <c:pt idx="29">
                  <c:v>3.9166666666666669E-2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8F-46B1-921C-1AD881C69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083536"/>
        <c:axId val="674082096"/>
      </c:scatterChart>
      <c:valAx>
        <c:axId val="67408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4082096"/>
        <c:crosses val="autoZero"/>
        <c:crossBetween val="midCat"/>
      </c:valAx>
      <c:valAx>
        <c:axId val="67408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4083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0</xdr:row>
      <xdr:rowOff>19050</xdr:rowOff>
    </xdr:from>
    <xdr:to>
      <xdr:col>13</xdr:col>
      <xdr:colOff>565150</xdr:colOff>
      <xdr:row>15</xdr:row>
      <xdr:rowOff>95250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31426D-C2E6-379E-F75D-032A395036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25400</xdr:colOff>
      <xdr:row>20</xdr:row>
      <xdr:rowOff>31750</xdr:rowOff>
    </xdr:from>
    <xdr:to>
      <xdr:col>13</xdr:col>
      <xdr:colOff>565150</xdr:colOff>
      <xdr:row>35</xdr:row>
      <xdr:rowOff>107950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7AA4A6B-0B9F-64F3-9996-8BC65A578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44450</xdr:colOff>
      <xdr:row>40</xdr:row>
      <xdr:rowOff>19050</xdr:rowOff>
    </xdr:from>
    <xdr:to>
      <xdr:col>13</xdr:col>
      <xdr:colOff>584200</xdr:colOff>
      <xdr:row>55</xdr:row>
      <xdr:rowOff>95250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332126C-99D5-0693-3DCD-A944A78C3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4" workbookViewId="0">
      <selection activeCell="F7" sqref="F7"/>
    </sheetView>
  </sheetViews>
  <sheetFormatPr defaultColWidth="10.58203125" defaultRowHeight="14" x14ac:dyDescent="0.3"/>
  <cols>
    <col min="1" max="5" width="9.58203125" customWidth="1"/>
    <col min="6" max="6" width="17.08203125" customWidth="1"/>
    <col min="7" max="7" width="10.33203125" customWidth="1"/>
    <col min="8" max="8" width="16.33203125" customWidth="1"/>
  </cols>
  <sheetData>
    <row r="1" spans="1:9" x14ac:dyDescent="0.3">
      <c r="A1" s="1" t="s">
        <v>15</v>
      </c>
      <c r="B1" s="1"/>
      <c r="C1" s="1"/>
      <c r="D1" s="1"/>
      <c r="E1" s="1"/>
      <c r="F1" s="1"/>
    </row>
    <row r="2" spans="1:9" x14ac:dyDescent="0.3">
      <c r="A2" s="2" t="s">
        <v>0</v>
      </c>
      <c r="B2" s="3" t="s">
        <v>2</v>
      </c>
      <c r="C2" s="3"/>
      <c r="D2" s="3"/>
      <c r="E2" s="3"/>
      <c r="F2" s="3"/>
      <c r="G2" s="6"/>
      <c r="H2" s="5"/>
      <c r="I2" s="5"/>
    </row>
    <row r="3" spans="1:9" x14ac:dyDescent="0.3">
      <c r="A3" s="2"/>
      <c r="B3" s="4" t="s">
        <v>10</v>
      </c>
      <c r="C3" s="4" t="s">
        <v>11</v>
      </c>
      <c r="D3" s="4" t="s">
        <v>12</v>
      </c>
      <c r="E3" s="4" t="s">
        <v>13</v>
      </c>
      <c r="F3" s="4" t="s">
        <v>5</v>
      </c>
      <c r="G3" s="6"/>
      <c r="H3" s="5"/>
      <c r="I3" s="5"/>
    </row>
    <row r="4" spans="1:9" x14ac:dyDescent="0.3">
      <c r="A4" s="8">
        <v>0</v>
      </c>
      <c r="B4" s="7">
        <v>0</v>
      </c>
      <c r="C4" s="7">
        <v>0</v>
      </c>
      <c r="D4" s="7">
        <v>0</v>
      </c>
      <c r="E4" s="7">
        <v>0</v>
      </c>
      <c r="F4" s="7">
        <f>(B4-C4+D4-E4)/4</f>
        <v>0</v>
      </c>
      <c r="G4" s="6"/>
      <c r="H4" s="5"/>
      <c r="I4" s="5"/>
    </row>
    <row r="5" spans="1:9" x14ac:dyDescent="0.3">
      <c r="A5" s="8">
        <v>1</v>
      </c>
      <c r="B5" s="4">
        <v>3.6</v>
      </c>
      <c r="C5" s="4">
        <v>-3.6</v>
      </c>
      <c r="D5" s="4">
        <v>3.6</v>
      </c>
      <c r="E5" s="4">
        <v>-3.6</v>
      </c>
      <c r="F5" s="7">
        <f t="shared" ref="F5:F10" si="0">(B5-C5+D5-E5)/4</f>
        <v>3.6</v>
      </c>
      <c r="G5" s="6"/>
      <c r="H5" s="5"/>
      <c r="I5" s="5"/>
    </row>
    <row r="6" spans="1:9" x14ac:dyDescent="0.3">
      <c r="A6" s="8">
        <v>2</v>
      </c>
      <c r="B6" s="4">
        <v>7.3</v>
      </c>
      <c r="C6" s="4">
        <v>-7.3</v>
      </c>
      <c r="D6" s="4">
        <v>7.3</v>
      </c>
      <c r="E6" s="4">
        <v>-7.3</v>
      </c>
      <c r="F6" s="7">
        <f t="shared" si="0"/>
        <v>7.3</v>
      </c>
      <c r="G6" s="6"/>
      <c r="H6" s="5"/>
      <c r="I6" s="5"/>
    </row>
    <row r="7" spans="1:9" x14ac:dyDescent="0.3">
      <c r="A7" s="8">
        <v>3</v>
      </c>
      <c r="B7" s="4">
        <v>10.9</v>
      </c>
      <c r="C7" s="4">
        <v>-10.9</v>
      </c>
      <c r="D7" s="4">
        <v>10.9</v>
      </c>
      <c r="E7" s="4">
        <v>-10.9</v>
      </c>
      <c r="F7" s="7">
        <f t="shared" si="0"/>
        <v>10.9</v>
      </c>
      <c r="G7" s="6"/>
      <c r="H7" s="5"/>
      <c r="I7" s="5"/>
    </row>
    <row r="8" spans="1:9" x14ac:dyDescent="0.3">
      <c r="A8" s="8">
        <v>4</v>
      </c>
      <c r="B8" s="4">
        <v>14.5</v>
      </c>
      <c r="C8" s="4">
        <v>-14.5</v>
      </c>
      <c r="D8" s="4">
        <v>14.5</v>
      </c>
      <c r="E8" s="4">
        <v>-14.5</v>
      </c>
      <c r="F8" s="7">
        <f t="shared" si="0"/>
        <v>14.5</v>
      </c>
      <c r="G8" s="6"/>
      <c r="H8" s="5"/>
      <c r="I8" s="5"/>
    </row>
    <row r="9" spans="1:9" x14ac:dyDescent="0.3">
      <c r="A9" s="8">
        <v>5</v>
      </c>
      <c r="B9" s="4">
        <v>18.2</v>
      </c>
      <c r="C9" s="4">
        <v>-18.2</v>
      </c>
      <c r="D9" s="4">
        <v>18.100000000000001</v>
      </c>
      <c r="E9" s="4">
        <v>-18.100000000000001</v>
      </c>
      <c r="F9" s="7">
        <f t="shared" si="0"/>
        <v>18.149999999999999</v>
      </c>
      <c r="G9" s="6"/>
      <c r="H9" s="5"/>
      <c r="I9" s="5"/>
    </row>
    <row r="10" spans="1:9" x14ac:dyDescent="0.3">
      <c r="A10" s="8">
        <v>6</v>
      </c>
      <c r="B10" s="4">
        <v>21.8</v>
      </c>
      <c r="C10" s="4">
        <v>-21.8</v>
      </c>
      <c r="D10" s="4">
        <v>21.8</v>
      </c>
      <c r="E10" s="4">
        <v>-21.8</v>
      </c>
      <c r="F10" s="7">
        <f t="shared" si="0"/>
        <v>21.8</v>
      </c>
      <c r="G10" s="6"/>
      <c r="H10" s="5"/>
      <c r="I10" s="5"/>
    </row>
    <row r="11" spans="1:9" ht="32" customHeight="1" x14ac:dyDescent="0.3">
      <c r="A11" s="6"/>
      <c r="B11" s="6"/>
      <c r="C11" s="6"/>
      <c r="D11" s="6"/>
      <c r="E11" s="6"/>
      <c r="F11" s="6"/>
      <c r="G11" s="6"/>
      <c r="H11" s="5"/>
      <c r="I11" s="5"/>
    </row>
    <row r="12" spans="1:9" x14ac:dyDescent="0.3">
      <c r="A12" s="3" t="s">
        <v>16</v>
      </c>
      <c r="B12" s="3"/>
      <c r="C12" s="3"/>
      <c r="D12" s="3"/>
      <c r="E12" s="3"/>
      <c r="F12" s="3"/>
      <c r="G12" s="3"/>
      <c r="H12" s="5"/>
      <c r="I12" s="5"/>
    </row>
    <row r="13" spans="1:9" ht="14" customHeight="1" x14ac:dyDescent="0.3">
      <c r="A13" s="2" t="s">
        <v>3</v>
      </c>
      <c r="B13" s="3" t="s">
        <v>2</v>
      </c>
      <c r="C13" s="3"/>
      <c r="D13" s="3"/>
      <c r="E13" s="3"/>
      <c r="F13" s="3"/>
      <c r="G13" s="4" t="s">
        <v>6</v>
      </c>
      <c r="H13" s="5"/>
      <c r="I13" s="5"/>
    </row>
    <row r="14" spans="1:9" x14ac:dyDescent="0.3">
      <c r="A14" s="2"/>
      <c r="B14" s="4" t="s">
        <v>10</v>
      </c>
      <c r="C14" s="4" t="s">
        <v>11</v>
      </c>
      <c r="D14" s="4" t="s">
        <v>12</v>
      </c>
      <c r="E14" s="4" t="s">
        <v>13</v>
      </c>
      <c r="F14" s="4" t="s">
        <v>5</v>
      </c>
      <c r="G14" s="4" t="s">
        <v>7</v>
      </c>
      <c r="H14" s="5"/>
      <c r="I14" s="5"/>
    </row>
    <row r="15" spans="1:9" x14ac:dyDescent="0.3">
      <c r="A15" s="4">
        <v>0</v>
      </c>
      <c r="B15" s="4">
        <v>0</v>
      </c>
      <c r="C15" s="4">
        <v>0</v>
      </c>
      <c r="D15" s="4">
        <v>0</v>
      </c>
      <c r="E15" s="4">
        <v>0</v>
      </c>
      <c r="F15" s="4">
        <f t="shared" ref="F15:F21" si="1">(B15-C15+D15-E15)/4</f>
        <v>0</v>
      </c>
      <c r="G15" s="9">
        <f>F15/(24*5)</f>
        <v>0</v>
      </c>
      <c r="H15" s="5"/>
      <c r="I15" s="5"/>
    </row>
    <row r="16" spans="1:9" x14ac:dyDescent="0.3">
      <c r="A16" s="4">
        <v>100</v>
      </c>
      <c r="B16" s="4">
        <v>3.1</v>
      </c>
      <c r="C16" s="4">
        <v>-3.1</v>
      </c>
      <c r="D16" s="4">
        <v>3.1</v>
      </c>
      <c r="E16" s="4">
        <v>-3.1</v>
      </c>
      <c r="F16" s="4">
        <f t="shared" si="1"/>
        <v>3.1</v>
      </c>
      <c r="G16" s="9">
        <f t="shared" ref="G16:G21" si="2">F16/(24*5)</f>
        <v>2.5833333333333333E-2</v>
      </c>
      <c r="H16" s="5"/>
      <c r="I16" s="5"/>
    </row>
    <row r="17" spans="1:9" x14ac:dyDescent="0.3">
      <c r="A17" s="4">
        <v>200</v>
      </c>
      <c r="B17" s="4">
        <v>6.1</v>
      </c>
      <c r="C17" s="4">
        <v>-6.1</v>
      </c>
      <c r="D17" s="4">
        <v>6.1</v>
      </c>
      <c r="E17" s="4">
        <v>-6.1</v>
      </c>
      <c r="F17" s="4">
        <f t="shared" si="1"/>
        <v>6.1</v>
      </c>
      <c r="G17" s="9">
        <f t="shared" si="2"/>
        <v>5.0833333333333328E-2</v>
      </c>
      <c r="H17" s="5"/>
      <c r="I17" s="5"/>
    </row>
    <row r="18" spans="1:9" x14ac:dyDescent="0.3">
      <c r="A18" s="4">
        <v>300</v>
      </c>
      <c r="B18" s="4">
        <v>9.1999999999999993</v>
      </c>
      <c r="C18" s="4">
        <v>-9.1999999999999993</v>
      </c>
      <c r="D18" s="4">
        <v>9.1999999999999993</v>
      </c>
      <c r="E18" s="4">
        <v>-9.1999999999999993</v>
      </c>
      <c r="F18" s="4">
        <f t="shared" si="1"/>
        <v>9.1999999999999993</v>
      </c>
      <c r="G18" s="9">
        <f t="shared" si="2"/>
        <v>7.6666666666666661E-2</v>
      </c>
      <c r="H18" s="5"/>
      <c r="I18" s="5"/>
    </row>
    <row r="19" spans="1:9" x14ac:dyDescent="0.3">
      <c r="A19" s="4">
        <v>400</v>
      </c>
      <c r="B19" s="4">
        <v>12.2</v>
      </c>
      <c r="C19" s="4">
        <v>-12.2</v>
      </c>
      <c r="D19" s="4">
        <v>12.2</v>
      </c>
      <c r="E19" s="4">
        <v>-12.2</v>
      </c>
      <c r="F19" s="4">
        <f t="shared" si="1"/>
        <v>12.2</v>
      </c>
      <c r="G19" s="9">
        <f t="shared" si="2"/>
        <v>0.10166666666666666</v>
      </c>
      <c r="H19" s="5"/>
      <c r="I19" s="5"/>
    </row>
    <row r="20" spans="1:9" x14ac:dyDescent="0.3">
      <c r="A20" s="4">
        <v>500</v>
      </c>
      <c r="B20" s="4">
        <v>15.2</v>
      </c>
      <c r="C20" s="4">
        <v>-15.2</v>
      </c>
      <c r="D20" s="4">
        <v>15.2</v>
      </c>
      <c r="E20" s="4">
        <v>-15.2</v>
      </c>
      <c r="F20" s="4">
        <f t="shared" si="1"/>
        <v>15.2</v>
      </c>
      <c r="G20" s="9">
        <f t="shared" si="2"/>
        <v>0.12666666666666665</v>
      </c>
      <c r="H20" s="5"/>
      <c r="I20" s="5"/>
    </row>
    <row r="21" spans="1:9" x14ac:dyDescent="0.3">
      <c r="A21" s="4">
        <v>600</v>
      </c>
      <c r="B21" s="4">
        <v>18.100000000000001</v>
      </c>
      <c r="C21" s="4">
        <v>-18.100000000000001</v>
      </c>
      <c r="D21" s="4">
        <v>18.100000000000001</v>
      </c>
      <c r="E21" s="4">
        <v>-18.100000000000001</v>
      </c>
      <c r="F21" s="4">
        <f t="shared" si="1"/>
        <v>18.100000000000001</v>
      </c>
      <c r="G21" s="9">
        <f t="shared" si="2"/>
        <v>0.15083333333333335</v>
      </c>
      <c r="H21" s="5"/>
      <c r="I21" s="5"/>
    </row>
    <row r="22" spans="1:9" ht="32" customHeight="1" x14ac:dyDescent="0.3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">
      <c r="A23" s="3" t="s">
        <v>17</v>
      </c>
      <c r="B23" s="3"/>
      <c r="C23" s="3"/>
      <c r="D23" s="3"/>
      <c r="E23" s="3"/>
      <c r="F23" s="3"/>
      <c r="G23" s="3"/>
      <c r="I23" s="5"/>
    </row>
    <row r="24" spans="1:9" x14ac:dyDescent="0.3">
      <c r="A24" s="2" t="s">
        <v>4</v>
      </c>
      <c r="B24" s="3" t="s">
        <v>1</v>
      </c>
      <c r="C24" s="3"/>
      <c r="D24" s="3"/>
      <c r="E24" s="3"/>
      <c r="F24" s="3"/>
      <c r="G24" s="4" t="s">
        <v>6</v>
      </c>
    </row>
    <row r="25" spans="1:9" x14ac:dyDescent="0.3">
      <c r="A25" s="2"/>
      <c r="B25" s="4" t="s">
        <v>10</v>
      </c>
      <c r="C25" s="4" t="s">
        <v>11</v>
      </c>
      <c r="D25" s="4" t="s">
        <v>12</v>
      </c>
      <c r="E25" s="4" t="s">
        <v>13</v>
      </c>
      <c r="F25" s="4" t="s">
        <v>5</v>
      </c>
      <c r="G25" s="4" t="s">
        <v>7</v>
      </c>
      <c r="H25" s="5" t="s">
        <v>14</v>
      </c>
    </row>
    <row r="26" spans="1:9" x14ac:dyDescent="0.3">
      <c r="A26" s="4">
        <v>-29</v>
      </c>
      <c r="B26" s="7">
        <v>7.9</v>
      </c>
      <c r="C26" s="7">
        <f>-B26</f>
        <v>-7.9</v>
      </c>
      <c r="D26" s="7">
        <v>7.9</v>
      </c>
      <c r="E26" s="7">
        <f>-D26</f>
        <v>-7.9</v>
      </c>
      <c r="F26" s="7">
        <f t="shared" ref="F26:F55" si="3">(B26-C26+D26-E26)/4</f>
        <v>7.9</v>
      </c>
      <c r="G26" s="9">
        <f>F26/(24*5)</f>
        <v>6.5833333333333341E-2</v>
      </c>
      <c r="H26" s="5" t="s">
        <v>8</v>
      </c>
    </row>
    <row r="27" spans="1:9" x14ac:dyDescent="0.3">
      <c r="A27" s="4">
        <v>-27</v>
      </c>
      <c r="B27" s="7">
        <v>10.1</v>
      </c>
      <c r="C27" s="7">
        <f t="shared" ref="C27:E55" si="4">-B27</f>
        <v>-10.1</v>
      </c>
      <c r="D27" s="7">
        <v>10.1</v>
      </c>
      <c r="E27" s="7">
        <f t="shared" si="4"/>
        <v>-10.1</v>
      </c>
      <c r="F27" s="7">
        <f t="shared" si="3"/>
        <v>10.1</v>
      </c>
      <c r="G27" s="9">
        <f t="shared" ref="G27:G55" si="5">F27/(24*5)</f>
        <v>8.4166666666666667E-2</v>
      </c>
      <c r="H27" s="5" t="s">
        <v>9</v>
      </c>
      <c r="I27" s="5"/>
    </row>
    <row r="28" spans="1:9" x14ac:dyDescent="0.3">
      <c r="A28" s="4">
        <v>-25</v>
      </c>
      <c r="B28" s="7">
        <v>13.9</v>
      </c>
      <c r="C28" s="7">
        <f t="shared" si="4"/>
        <v>-13.9</v>
      </c>
      <c r="D28" s="7">
        <v>13.9</v>
      </c>
      <c r="E28" s="7">
        <f t="shared" si="4"/>
        <v>-13.9</v>
      </c>
      <c r="F28" s="7">
        <f t="shared" si="3"/>
        <v>13.9</v>
      </c>
      <c r="G28" s="9">
        <f t="shared" si="5"/>
        <v>0.11583333333333333</v>
      </c>
      <c r="H28" s="5"/>
      <c r="I28" s="5"/>
    </row>
    <row r="29" spans="1:9" x14ac:dyDescent="0.3">
      <c r="A29" s="4">
        <v>-23</v>
      </c>
      <c r="B29" s="7">
        <v>17</v>
      </c>
      <c r="C29" s="7">
        <f t="shared" si="4"/>
        <v>-17</v>
      </c>
      <c r="D29" s="7">
        <v>17</v>
      </c>
      <c r="E29" s="7">
        <f t="shared" si="4"/>
        <v>-17</v>
      </c>
      <c r="F29" s="7">
        <f t="shared" si="3"/>
        <v>17</v>
      </c>
      <c r="G29" s="9">
        <f t="shared" si="5"/>
        <v>0.14166666666666666</v>
      </c>
      <c r="H29" s="5"/>
      <c r="I29" s="5"/>
    </row>
    <row r="30" spans="1:9" x14ac:dyDescent="0.3">
      <c r="A30" s="4">
        <v>-21</v>
      </c>
      <c r="B30" s="7">
        <v>17.600000000000001</v>
      </c>
      <c r="C30" s="7">
        <f t="shared" si="4"/>
        <v>-17.600000000000001</v>
      </c>
      <c r="D30" s="7">
        <v>17.600000000000001</v>
      </c>
      <c r="E30" s="7">
        <f t="shared" si="4"/>
        <v>-17.600000000000001</v>
      </c>
      <c r="F30" s="7">
        <f t="shared" si="3"/>
        <v>17.600000000000001</v>
      </c>
      <c r="G30" s="9">
        <f t="shared" si="5"/>
        <v>0.14666666666666667</v>
      </c>
      <c r="H30" s="5"/>
      <c r="I30" s="5"/>
    </row>
    <row r="31" spans="1:9" x14ac:dyDescent="0.3">
      <c r="A31" s="4">
        <v>-19</v>
      </c>
      <c r="B31" s="7">
        <v>17.7</v>
      </c>
      <c r="C31" s="7">
        <f t="shared" si="4"/>
        <v>-17.7</v>
      </c>
      <c r="D31" s="7">
        <v>17.7</v>
      </c>
      <c r="E31" s="7">
        <f t="shared" si="4"/>
        <v>-17.7</v>
      </c>
      <c r="F31" s="7">
        <f t="shared" si="3"/>
        <v>17.7</v>
      </c>
      <c r="G31" s="9">
        <f t="shared" si="5"/>
        <v>0.14749999999999999</v>
      </c>
      <c r="H31" s="5"/>
      <c r="I31" s="5"/>
    </row>
    <row r="32" spans="1:9" x14ac:dyDescent="0.3">
      <c r="A32" s="4">
        <v>-17</v>
      </c>
      <c r="B32" s="7">
        <v>17.7</v>
      </c>
      <c r="C32" s="7">
        <f t="shared" si="4"/>
        <v>-17.7</v>
      </c>
      <c r="D32" s="7">
        <v>17.7</v>
      </c>
      <c r="E32" s="7">
        <f t="shared" si="4"/>
        <v>-17.7</v>
      </c>
      <c r="F32" s="7">
        <f t="shared" si="3"/>
        <v>17.7</v>
      </c>
      <c r="G32" s="9">
        <f t="shared" si="5"/>
        <v>0.14749999999999999</v>
      </c>
      <c r="H32" s="5"/>
      <c r="I32" s="5"/>
    </row>
    <row r="33" spans="1:9" x14ac:dyDescent="0.3">
      <c r="A33" s="4">
        <v>-15</v>
      </c>
      <c r="B33" s="7">
        <v>17.8</v>
      </c>
      <c r="C33" s="7">
        <f t="shared" si="4"/>
        <v>-17.8</v>
      </c>
      <c r="D33" s="7">
        <v>17.8</v>
      </c>
      <c r="E33" s="7">
        <f t="shared" si="4"/>
        <v>-17.8</v>
      </c>
      <c r="F33" s="7">
        <f t="shared" si="3"/>
        <v>17.8</v>
      </c>
      <c r="G33" s="9">
        <f t="shared" si="5"/>
        <v>0.14833333333333334</v>
      </c>
      <c r="H33" s="5"/>
      <c r="I33" s="5"/>
    </row>
    <row r="34" spans="1:9" x14ac:dyDescent="0.3">
      <c r="A34" s="4">
        <v>-13</v>
      </c>
      <c r="B34" s="7">
        <v>17.8</v>
      </c>
      <c r="C34" s="7">
        <f t="shared" si="4"/>
        <v>-17.8</v>
      </c>
      <c r="D34" s="7">
        <v>17.8</v>
      </c>
      <c r="E34" s="7">
        <f t="shared" si="4"/>
        <v>-17.8</v>
      </c>
      <c r="F34" s="7">
        <f t="shared" si="3"/>
        <v>17.8</v>
      </c>
      <c r="G34" s="9">
        <f t="shared" si="5"/>
        <v>0.14833333333333334</v>
      </c>
      <c r="H34" s="5"/>
      <c r="I34" s="5"/>
    </row>
    <row r="35" spans="1:9" x14ac:dyDescent="0.3">
      <c r="A35" s="4">
        <v>-11</v>
      </c>
      <c r="B35" s="7">
        <v>17.8</v>
      </c>
      <c r="C35" s="7">
        <f t="shared" si="4"/>
        <v>-17.8</v>
      </c>
      <c r="D35" s="7">
        <v>17.8</v>
      </c>
      <c r="E35" s="7">
        <f t="shared" si="4"/>
        <v>-17.8</v>
      </c>
      <c r="F35" s="7">
        <f t="shared" si="3"/>
        <v>17.8</v>
      </c>
      <c r="G35" s="9">
        <f t="shared" si="5"/>
        <v>0.14833333333333334</v>
      </c>
      <c r="H35" s="5"/>
      <c r="I35" s="5"/>
    </row>
    <row r="36" spans="1:9" x14ac:dyDescent="0.3">
      <c r="A36" s="4">
        <v>-9</v>
      </c>
      <c r="B36" s="7">
        <v>17.899999999999999</v>
      </c>
      <c r="C36" s="7">
        <f t="shared" si="4"/>
        <v>-17.899999999999999</v>
      </c>
      <c r="D36" s="7">
        <v>17.899999999999999</v>
      </c>
      <c r="E36" s="7">
        <f t="shared" si="4"/>
        <v>-17.899999999999999</v>
      </c>
      <c r="F36" s="7">
        <f t="shared" si="3"/>
        <v>17.899999999999999</v>
      </c>
      <c r="G36" s="9">
        <f t="shared" si="5"/>
        <v>0.14916666666666664</v>
      </c>
      <c r="H36" s="5"/>
      <c r="I36" s="5"/>
    </row>
    <row r="37" spans="1:9" x14ac:dyDescent="0.3">
      <c r="A37" s="4">
        <v>-7</v>
      </c>
      <c r="B37" s="7">
        <v>17.899999999999999</v>
      </c>
      <c r="C37" s="7">
        <f t="shared" si="4"/>
        <v>-17.899999999999999</v>
      </c>
      <c r="D37" s="7">
        <v>17.899999999999999</v>
      </c>
      <c r="E37" s="7">
        <f t="shared" si="4"/>
        <v>-17.899999999999999</v>
      </c>
      <c r="F37" s="7">
        <f t="shared" si="3"/>
        <v>17.899999999999999</v>
      </c>
      <c r="G37" s="9">
        <f t="shared" si="5"/>
        <v>0.14916666666666664</v>
      </c>
      <c r="H37" s="5"/>
      <c r="I37" s="5"/>
    </row>
    <row r="38" spans="1:9" x14ac:dyDescent="0.3">
      <c r="A38" s="4">
        <v>-5</v>
      </c>
      <c r="B38" s="7">
        <v>17.899999999999999</v>
      </c>
      <c r="C38" s="7">
        <f t="shared" si="4"/>
        <v>-17.899999999999999</v>
      </c>
      <c r="D38" s="7">
        <v>17.899999999999999</v>
      </c>
      <c r="E38" s="7">
        <f t="shared" si="4"/>
        <v>-17.899999999999999</v>
      </c>
      <c r="F38" s="7">
        <f t="shared" si="3"/>
        <v>17.899999999999999</v>
      </c>
      <c r="G38" s="9">
        <f t="shared" si="5"/>
        <v>0.14916666666666664</v>
      </c>
      <c r="H38" s="5"/>
      <c r="I38" s="5"/>
    </row>
    <row r="39" spans="1:9" x14ac:dyDescent="0.3">
      <c r="A39" s="4">
        <v>-3</v>
      </c>
      <c r="B39" s="7">
        <v>17.899999999999999</v>
      </c>
      <c r="C39" s="7">
        <f t="shared" si="4"/>
        <v>-17.899999999999999</v>
      </c>
      <c r="D39" s="7">
        <v>17.899999999999999</v>
      </c>
      <c r="E39" s="7">
        <f t="shared" si="4"/>
        <v>-17.899999999999999</v>
      </c>
      <c r="F39" s="7">
        <f t="shared" si="3"/>
        <v>17.899999999999999</v>
      </c>
      <c r="G39" s="9">
        <f t="shared" si="5"/>
        <v>0.14916666666666664</v>
      </c>
      <c r="H39" s="5"/>
      <c r="I39" s="5"/>
    </row>
    <row r="40" spans="1:9" x14ac:dyDescent="0.3">
      <c r="A40" s="4">
        <v>-1</v>
      </c>
      <c r="B40" s="7">
        <v>18</v>
      </c>
      <c r="C40" s="7">
        <f t="shared" si="4"/>
        <v>-18</v>
      </c>
      <c r="D40" s="7">
        <v>18</v>
      </c>
      <c r="E40" s="7">
        <f t="shared" si="4"/>
        <v>-18</v>
      </c>
      <c r="F40" s="7">
        <f t="shared" si="3"/>
        <v>18</v>
      </c>
      <c r="G40" s="9">
        <f t="shared" si="5"/>
        <v>0.15</v>
      </c>
      <c r="H40" s="5"/>
      <c r="I40" s="5"/>
    </row>
    <row r="41" spans="1:9" x14ac:dyDescent="0.3">
      <c r="A41" s="4">
        <v>1</v>
      </c>
      <c r="B41" s="7">
        <v>18</v>
      </c>
      <c r="C41" s="7">
        <f t="shared" si="4"/>
        <v>-18</v>
      </c>
      <c r="D41" s="7">
        <v>18</v>
      </c>
      <c r="E41" s="7">
        <f t="shared" si="4"/>
        <v>-18</v>
      </c>
      <c r="F41" s="7">
        <f t="shared" si="3"/>
        <v>18</v>
      </c>
      <c r="G41" s="9">
        <f t="shared" si="5"/>
        <v>0.15</v>
      </c>
      <c r="H41" s="5"/>
      <c r="I41" s="5"/>
    </row>
    <row r="42" spans="1:9" x14ac:dyDescent="0.3">
      <c r="A42" s="4">
        <v>3</v>
      </c>
      <c r="B42" s="7">
        <v>18</v>
      </c>
      <c r="C42" s="7">
        <f t="shared" si="4"/>
        <v>-18</v>
      </c>
      <c r="D42" s="7">
        <v>18</v>
      </c>
      <c r="E42" s="7">
        <f t="shared" si="4"/>
        <v>-18</v>
      </c>
      <c r="F42" s="7">
        <f t="shared" si="3"/>
        <v>18</v>
      </c>
      <c r="G42" s="9">
        <f t="shared" si="5"/>
        <v>0.15</v>
      </c>
      <c r="H42" s="5"/>
      <c r="I42" s="5"/>
    </row>
    <row r="43" spans="1:9" x14ac:dyDescent="0.3">
      <c r="A43" s="4">
        <v>5</v>
      </c>
      <c r="B43" s="7">
        <v>18</v>
      </c>
      <c r="C43" s="7">
        <f t="shared" si="4"/>
        <v>-18</v>
      </c>
      <c r="D43" s="7">
        <v>18</v>
      </c>
      <c r="E43" s="7">
        <f t="shared" si="4"/>
        <v>-18</v>
      </c>
      <c r="F43" s="7">
        <f t="shared" si="3"/>
        <v>18</v>
      </c>
      <c r="G43" s="9">
        <f t="shared" si="5"/>
        <v>0.15</v>
      </c>
      <c r="H43" s="5"/>
      <c r="I43" s="5"/>
    </row>
    <row r="44" spans="1:9" x14ac:dyDescent="0.3">
      <c r="A44" s="4">
        <v>7</v>
      </c>
      <c r="B44" s="7">
        <v>18</v>
      </c>
      <c r="C44" s="7">
        <f t="shared" si="4"/>
        <v>-18</v>
      </c>
      <c r="D44" s="7">
        <v>18</v>
      </c>
      <c r="E44" s="7">
        <f t="shared" si="4"/>
        <v>-18</v>
      </c>
      <c r="F44" s="7">
        <f t="shared" si="3"/>
        <v>18</v>
      </c>
      <c r="G44" s="9">
        <f t="shared" si="5"/>
        <v>0.15</v>
      </c>
      <c r="H44" s="5"/>
      <c r="I44" s="5"/>
    </row>
    <row r="45" spans="1:9" x14ac:dyDescent="0.3">
      <c r="A45" s="4">
        <v>9</v>
      </c>
      <c r="B45" s="7">
        <v>18</v>
      </c>
      <c r="C45" s="7">
        <f t="shared" si="4"/>
        <v>-18</v>
      </c>
      <c r="D45" s="7">
        <v>18</v>
      </c>
      <c r="E45" s="7">
        <f t="shared" si="4"/>
        <v>-18</v>
      </c>
      <c r="F45" s="7">
        <f t="shared" si="3"/>
        <v>18</v>
      </c>
      <c r="G45" s="9">
        <f t="shared" si="5"/>
        <v>0.15</v>
      </c>
      <c r="H45" s="5"/>
      <c r="I45" s="5"/>
    </row>
    <row r="46" spans="1:9" x14ac:dyDescent="0.3">
      <c r="A46" s="4">
        <v>11</v>
      </c>
      <c r="B46" s="7">
        <v>18.100000000000001</v>
      </c>
      <c r="C46" s="7">
        <f t="shared" si="4"/>
        <v>-18.100000000000001</v>
      </c>
      <c r="D46" s="7">
        <v>18.100000000000001</v>
      </c>
      <c r="E46" s="7">
        <f t="shared" si="4"/>
        <v>-18.100000000000001</v>
      </c>
      <c r="F46" s="7">
        <f t="shared" si="3"/>
        <v>18.100000000000001</v>
      </c>
      <c r="G46" s="9">
        <f t="shared" si="5"/>
        <v>0.15083333333333335</v>
      </c>
      <c r="H46" s="5"/>
      <c r="I46" s="5"/>
    </row>
    <row r="47" spans="1:9" x14ac:dyDescent="0.3">
      <c r="A47" s="4">
        <v>13</v>
      </c>
      <c r="B47" s="7">
        <v>18.100000000000001</v>
      </c>
      <c r="C47" s="7">
        <f t="shared" si="4"/>
        <v>-18.100000000000001</v>
      </c>
      <c r="D47" s="7">
        <v>18.100000000000001</v>
      </c>
      <c r="E47" s="7">
        <f t="shared" si="4"/>
        <v>-18.100000000000001</v>
      </c>
      <c r="F47" s="7">
        <f t="shared" si="3"/>
        <v>18.100000000000001</v>
      </c>
      <c r="G47" s="9">
        <f t="shared" si="5"/>
        <v>0.15083333333333335</v>
      </c>
      <c r="H47" s="5"/>
      <c r="I47" s="5"/>
    </row>
    <row r="48" spans="1:9" x14ac:dyDescent="0.3">
      <c r="A48" s="4">
        <v>15</v>
      </c>
      <c r="B48" s="7">
        <v>17.7</v>
      </c>
      <c r="C48" s="7">
        <f t="shared" si="4"/>
        <v>-17.7</v>
      </c>
      <c r="D48" s="7">
        <v>17.7</v>
      </c>
      <c r="E48" s="7">
        <f t="shared" si="4"/>
        <v>-17.7</v>
      </c>
      <c r="F48" s="7">
        <f t="shared" si="3"/>
        <v>17.7</v>
      </c>
      <c r="G48" s="9">
        <f t="shared" si="5"/>
        <v>0.14749999999999999</v>
      </c>
      <c r="H48" s="5"/>
      <c r="I48" s="5"/>
    </row>
    <row r="49" spans="1:9" x14ac:dyDescent="0.3">
      <c r="A49" s="4">
        <v>17</v>
      </c>
      <c r="B49" s="7">
        <v>12.9</v>
      </c>
      <c r="C49" s="7">
        <f t="shared" si="4"/>
        <v>-12.9</v>
      </c>
      <c r="D49" s="7">
        <v>12.9</v>
      </c>
      <c r="E49" s="7">
        <f t="shared" si="4"/>
        <v>-12.9</v>
      </c>
      <c r="F49" s="7">
        <f t="shared" si="3"/>
        <v>12.9</v>
      </c>
      <c r="G49" s="9">
        <f t="shared" si="5"/>
        <v>0.1075</v>
      </c>
      <c r="H49" s="5"/>
      <c r="I49" s="5"/>
    </row>
    <row r="50" spans="1:9" x14ac:dyDescent="0.3">
      <c r="A50" s="4">
        <v>19</v>
      </c>
      <c r="B50" s="7">
        <v>9.3000000000000007</v>
      </c>
      <c r="C50" s="7">
        <f t="shared" si="4"/>
        <v>-9.3000000000000007</v>
      </c>
      <c r="D50" s="7">
        <v>9.3000000000000007</v>
      </c>
      <c r="E50" s="7">
        <f t="shared" si="4"/>
        <v>-9.3000000000000007</v>
      </c>
      <c r="F50" s="7">
        <f t="shared" si="3"/>
        <v>9.3000000000000007</v>
      </c>
      <c r="G50" s="9">
        <f t="shared" si="5"/>
        <v>7.7499999999999999E-2</v>
      </c>
      <c r="H50" s="5"/>
      <c r="I50" s="5"/>
    </row>
    <row r="51" spans="1:9" x14ac:dyDescent="0.3">
      <c r="A51" s="4">
        <v>21</v>
      </c>
      <c r="B51" s="7">
        <v>7.3</v>
      </c>
      <c r="C51" s="7">
        <f t="shared" si="4"/>
        <v>-7.3</v>
      </c>
      <c r="D51" s="7">
        <v>7.3</v>
      </c>
      <c r="E51" s="7">
        <f t="shared" si="4"/>
        <v>-7.3</v>
      </c>
      <c r="F51" s="7">
        <f t="shared" si="3"/>
        <v>7.3</v>
      </c>
      <c r="G51" s="9">
        <f t="shared" si="5"/>
        <v>6.083333333333333E-2</v>
      </c>
      <c r="H51" s="5"/>
      <c r="I51" s="5"/>
    </row>
    <row r="52" spans="1:9" x14ac:dyDescent="0.3">
      <c r="A52" s="4">
        <v>23</v>
      </c>
      <c r="B52" s="7">
        <v>6.3</v>
      </c>
      <c r="C52" s="7">
        <f t="shared" si="4"/>
        <v>-6.3</v>
      </c>
      <c r="D52" s="7">
        <v>6.3</v>
      </c>
      <c r="E52" s="7">
        <f t="shared" si="4"/>
        <v>-6.3</v>
      </c>
      <c r="F52" s="7">
        <f t="shared" si="3"/>
        <v>6.3</v>
      </c>
      <c r="G52" s="9">
        <f t="shared" si="5"/>
        <v>5.2499999999999998E-2</v>
      </c>
      <c r="H52" s="5"/>
      <c r="I52" s="5"/>
    </row>
    <row r="53" spans="1:9" x14ac:dyDescent="0.3">
      <c r="A53" s="4">
        <v>25</v>
      </c>
      <c r="B53" s="7">
        <v>5.6</v>
      </c>
      <c r="C53" s="7">
        <f t="shared" si="4"/>
        <v>-5.6</v>
      </c>
      <c r="D53" s="7">
        <v>5.6</v>
      </c>
      <c r="E53" s="7">
        <f t="shared" si="4"/>
        <v>-5.6</v>
      </c>
      <c r="F53" s="7">
        <f t="shared" si="3"/>
        <v>5.6</v>
      </c>
      <c r="G53" s="9">
        <f t="shared" si="5"/>
        <v>4.6666666666666662E-2</v>
      </c>
      <c r="H53" s="5"/>
      <c r="I53" s="5"/>
    </row>
    <row r="54" spans="1:9" x14ac:dyDescent="0.3">
      <c r="A54" s="4">
        <v>27</v>
      </c>
      <c r="B54" s="7">
        <v>5</v>
      </c>
      <c r="C54" s="7">
        <f t="shared" si="4"/>
        <v>-5</v>
      </c>
      <c r="D54" s="7">
        <v>5</v>
      </c>
      <c r="E54" s="7">
        <f t="shared" si="4"/>
        <v>-5</v>
      </c>
      <c r="F54" s="7">
        <f t="shared" si="3"/>
        <v>5</v>
      </c>
      <c r="G54" s="9">
        <f t="shared" si="5"/>
        <v>4.1666666666666664E-2</v>
      </c>
      <c r="H54" s="5"/>
      <c r="I54" s="5"/>
    </row>
    <row r="55" spans="1:9" x14ac:dyDescent="0.3">
      <c r="A55" s="4">
        <v>29</v>
      </c>
      <c r="B55" s="7">
        <v>4.7</v>
      </c>
      <c r="C55" s="7">
        <f t="shared" si="4"/>
        <v>-4.7</v>
      </c>
      <c r="D55" s="7">
        <v>4.7</v>
      </c>
      <c r="E55" s="7">
        <f t="shared" si="4"/>
        <v>-4.7</v>
      </c>
      <c r="F55" s="7">
        <f t="shared" si="3"/>
        <v>4.7</v>
      </c>
      <c r="G55" s="9">
        <f t="shared" si="5"/>
        <v>3.9166666666666669E-2</v>
      </c>
      <c r="H55" s="5"/>
      <c r="I55" s="5"/>
    </row>
  </sheetData>
  <mergeCells count="9">
    <mergeCell ref="A24:A25"/>
    <mergeCell ref="B24:F24"/>
    <mergeCell ref="A1:F1"/>
    <mergeCell ref="A12:G12"/>
    <mergeCell ref="A23:G23"/>
    <mergeCell ref="A2:A3"/>
    <mergeCell ref="B2:F2"/>
    <mergeCell ref="A13:A14"/>
    <mergeCell ref="B13:F13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zhanghanbin</dc:creator>
  <cp:lastModifiedBy>涵斌 张</cp:lastModifiedBy>
  <cp:lastPrinted>2024-05-14T06:59:47Z</cp:lastPrinted>
  <dcterms:created xsi:type="dcterms:W3CDTF">2015-06-05T18:19:34Z</dcterms:created>
  <dcterms:modified xsi:type="dcterms:W3CDTF">2024-05-14T06:59:51Z</dcterms:modified>
</cp:coreProperties>
</file>