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zhanghanbin\Desktop\课件\大一下\大物实验\第六周 实验2\"/>
    </mc:Choice>
  </mc:AlternateContent>
  <xr:revisionPtr revIDLastSave="0" documentId="13_ncr:1_{70AA8954-1EE5-425E-ACFD-8254732876C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1" l="1"/>
  <c r="E10" i="1"/>
  <c r="F10" i="1"/>
  <c r="F4" i="1"/>
  <c r="F5" i="1"/>
  <c r="F6" i="1"/>
  <c r="F7" i="1"/>
  <c r="F8" i="1"/>
  <c r="F9" i="1"/>
  <c r="F3" i="1"/>
  <c r="E4" i="1"/>
  <c r="E5" i="1"/>
  <c r="E6" i="1"/>
  <c r="E7" i="1"/>
  <c r="E8" i="1"/>
  <c r="E9" i="1"/>
  <c r="E3" i="1"/>
</calcChain>
</file>

<file path=xl/sharedStrings.xml><?xml version="1.0" encoding="utf-8"?>
<sst xmlns="http://schemas.openxmlformats.org/spreadsheetml/2006/main" count="16" uniqueCount="16">
  <si>
    <t>砝码质量mi(kg)</t>
    <phoneticPr fontId="1" type="noConversion"/>
  </si>
  <si>
    <t>增重读数xi’(*10^-2m)</t>
    <phoneticPr fontId="1" type="noConversion"/>
  </si>
  <si>
    <t>减重读数xi"(*10^-2m)</t>
    <phoneticPr fontId="1" type="noConversion"/>
  </si>
  <si>
    <t>偏转量Ni=xi-x0(*10^-2m)</t>
    <phoneticPr fontId="1" type="noConversion"/>
  </si>
  <si>
    <t>平均读数xi(*10^-2m)</t>
    <phoneticPr fontId="1" type="noConversion"/>
  </si>
  <si>
    <t>x4-x0</t>
    <phoneticPr fontId="1" type="noConversion"/>
  </si>
  <si>
    <t>x5-x1</t>
    <phoneticPr fontId="1" type="noConversion"/>
  </si>
  <si>
    <t>x6-x2</t>
    <phoneticPr fontId="1" type="noConversion"/>
  </si>
  <si>
    <t>x7-x3</t>
    <phoneticPr fontId="1" type="noConversion"/>
  </si>
  <si>
    <t>平均值</t>
    <phoneticPr fontId="1" type="noConversion"/>
  </si>
  <si>
    <t>对应于m=4.000kg的偏转量</t>
    <phoneticPr fontId="1" type="noConversion"/>
  </si>
  <si>
    <t>钢丝受外力后偏转量N的测量</t>
    <phoneticPr fontId="1" type="noConversion"/>
  </si>
  <si>
    <r>
      <t>标尺至镜平面的距离D=</t>
    </r>
    <r>
      <rPr>
        <u/>
        <sz val="11"/>
        <color theme="1"/>
        <rFont val="等线"/>
        <family val="3"/>
        <charset val="134"/>
        <scheme val="minor"/>
      </rPr>
      <t>2.140</t>
    </r>
    <r>
      <rPr>
        <sz val="11"/>
        <color theme="1"/>
        <rFont val="等线"/>
        <family val="2"/>
        <scheme val="minor"/>
      </rPr>
      <t>m</t>
    </r>
    <phoneticPr fontId="1" type="noConversion"/>
  </si>
  <si>
    <r>
      <t xml:space="preserve">               钢丝原长度L0=</t>
    </r>
    <r>
      <rPr>
        <u/>
        <sz val="11"/>
        <color theme="1"/>
        <rFont val="等线"/>
        <family val="3"/>
        <charset val="134"/>
        <scheme val="minor"/>
      </rPr>
      <t>0.7140</t>
    </r>
    <r>
      <rPr>
        <sz val="11"/>
        <color theme="1"/>
        <rFont val="等线"/>
        <family val="3"/>
        <charset val="134"/>
        <scheme val="minor"/>
      </rPr>
      <t xml:space="preserve">m   </t>
    </r>
    <r>
      <rPr>
        <u/>
        <sz val="11"/>
        <color theme="1"/>
        <rFont val="等线"/>
        <family val="3"/>
        <charset val="134"/>
        <scheme val="minor"/>
      </rPr>
      <t xml:space="preserve">      </t>
    </r>
    <phoneticPr fontId="1" type="noConversion"/>
  </si>
  <si>
    <r>
      <t xml:space="preserve">              光杆镜架长度b=</t>
    </r>
    <r>
      <rPr>
        <u/>
        <sz val="11"/>
        <color theme="1"/>
        <rFont val="等线"/>
        <family val="3"/>
        <charset val="134"/>
        <scheme val="minor"/>
      </rPr>
      <t>0.05891</t>
    </r>
    <r>
      <rPr>
        <sz val="11"/>
        <color theme="1"/>
        <rFont val="等线"/>
        <family val="2"/>
        <scheme val="minor"/>
      </rPr>
      <t>m</t>
    </r>
    <phoneticPr fontId="1" type="noConversion"/>
  </si>
  <si>
    <r>
      <t xml:space="preserve">               钢丝的直径d=</t>
    </r>
    <r>
      <rPr>
        <u/>
        <sz val="11"/>
        <color theme="1"/>
        <rFont val="等线"/>
        <family val="3"/>
        <charset val="134"/>
        <scheme val="minor"/>
      </rPr>
      <t>0.600</t>
    </r>
    <r>
      <rPr>
        <sz val="11"/>
        <color theme="1"/>
        <rFont val="等线"/>
        <family val="2"/>
        <scheme val="minor"/>
      </rPr>
      <t>m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</si>
</sst>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偏转量与砝码质量关系图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Sheet1!$B$3:$B$10</c:f>
              <c:numCache>
                <c:formatCode>0.000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Sheet1!$F$3:$F$10</c:f>
              <c:numCache>
                <c:formatCode>0.00</c:formatCode>
                <c:ptCount val="8"/>
                <c:pt idx="0">
                  <c:v>-4.9999999999999906E-3</c:v>
                </c:pt>
                <c:pt idx="1">
                  <c:v>0.91499999999999992</c:v>
                </c:pt>
                <c:pt idx="2">
                  <c:v>1.8149999999999999</c:v>
                </c:pt>
                <c:pt idx="3">
                  <c:v>2.7450000000000001</c:v>
                </c:pt>
                <c:pt idx="4">
                  <c:v>3.62</c:v>
                </c:pt>
                <c:pt idx="5">
                  <c:v>4.6049999999999995</c:v>
                </c:pt>
                <c:pt idx="6">
                  <c:v>5.4850000000000003</c:v>
                </c:pt>
                <c:pt idx="7">
                  <c:v>6.18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21-46F3-8F9F-7C3CF8958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2499536"/>
        <c:axId val="660669952"/>
      </c:scatterChart>
      <c:valAx>
        <c:axId val="632499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0669952"/>
        <c:crosses val="autoZero"/>
        <c:crossBetween val="midCat"/>
      </c:valAx>
      <c:valAx>
        <c:axId val="66066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2499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12700</xdr:rowOff>
    </xdr:from>
    <xdr:to>
      <xdr:col>5</xdr:col>
      <xdr:colOff>387350</xdr:colOff>
      <xdr:row>14</xdr:row>
      <xdr:rowOff>2838450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8A83B23-FC18-D308-86FF-FEC5D6F955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topLeftCell="A7" workbookViewId="0">
      <selection activeCell="B19" sqref="B19"/>
    </sheetView>
  </sheetViews>
  <sheetFormatPr defaultRowHeight="14" x14ac:dyDescent="0.3"/>
  <cols>
    <col min="1" max="5" width="11.58203125" customWidth="1"/>
    <col min="6" max="6" width="12" customWidth="1"/>
    <col min="7" max="8" width="11.58203125" customWidth="1"/>
    <col min="9" max="9" width="12.58203125" customWidth="1"/>
  </cols>
  <sheetData>
    <row r="1" spans="1:8" x14ac:dyDescent="0.3">
      <c r="A1" s="7" t="s">
        <v>11</v>
      </c>
      <c r="B1" s="8"/>
      <c r="C1" s="8"/>
      <c r="D1" s="8"/>
      <c r="E1" s="8"/>
      <c r="F1" s="9"/>
    </row>
    <row r="2" spans="1:8" ht="30" customHeight="1" x14ac:dyDescent="0.3">
      <c r="A2" s="2"/>
      <c r="B2" s="3" t="s">
        <v>0</v>
      </c>
      <c r="C2" s="3" t="s">
        <v>1</v>
      </c>
      <c r="D2" s="3" t="s">
        <v>2</v>
      </c>
      <c r="E2" s="3" t="s">
        <v>4</v>
      </c>
      <c r="F2" s="3" t="s">
        <v>3</v>
      </c>
      <c r="G2" s="1"/>
      <c r="H2" s="1"/>
    </row>
    <row r="3" spans="1:8" ht="20" customHeight="1" x14ac:dyDescent="0.3">
      <c r="A3" s="2">
        <v>0</v>
      </c>
      <c r="B3" s="5">
        <v>0</v>
      </c>
      <c r="C3" s="4">
        <v>0</v>
      </c>
      <c r="D3" s="4">
        <v>0.23</v>
      </c>
      <c r="E3" s="4">
        <f>(C3+D3)/2</f>
        <v>0.115</v>
      </c>
      <c r="F3" s="4">
        <f>E3-0.12</f>
        <v>-4.9999999999999906E-3</v>
      </c>
      <c r="G3" s="1"/>
      <c r="H3" s="1"/>
    </row>
    <row r="4" spans="1:8" ht="20" customHeight="1" x14ac:dyDescent="0.3">
      <c r="A4" s="2">
        <v>1</v>
      </c>
      <c r="B4" s="5">
        <v>1</v>
      </c>
      <c r="C4" s="4">
        <v>0.91</v>
      </c>
      <c r="D4" s="4">
        <v>1.1599999999999999</v>
      </c>
      <c r="E4" s="4">
        <f t="shared" ref="E4:E10" si="0">(C4+D4)/2</f>
        <v>1.0349999999999999</v>
      </c>
      <c r="F4" s="4">
        <f t="shared" ref="F4:F10" si="1">E4-0.12</f>
        <v>0.91499999999999992</v>
      </c>
      <c r="G4" s="1"/>
      <c r="H4" s="1"/>
    </row>
    <row r="5" spans="1:8" ht="20" customHeight="1" x14ac:dyDescent="0.3">
      <c r="A5" s="2">
        <v>2</v>
      </c>
      <c r="B5" s="5">
        <v>2</v>
      </c>
      <c r="C5" s="4">
        <v>1.79</v>
      </c>
      <c r="D5" s="4">
        <v>2.08</v>
      </c>
      <c r="E5" s="4">
        <f t="shared" si="0"/>
        <v>1.9350000000000001</v>
      </c>
      <c r="F5" s="4">
        <f t="shared" si="1"/>
        <v>1.8149999999999999</v>
      </c>
      <c r="G5" s="1"/>
      <c r="H5" s="1"/>
    </row>
    <row r="6" spans="1:8" ht="20" customHeight="1" x14ac:dyDescent="0.3">
      <c r="A6" s="2">
        <v>3</v>
      </c>
      <c r="B6" s="5">
        <v>3</v>
      </c>
      <c r="C6" s="4">
        <v>2.72</v>
      </c>
      <c r="D6" s="4">
        <v>3.01</v>
      </c>
      <c r="E6" s="4">
        <f t="shared" si="0"/>
        <v>2.8650000000000002</v>
      </c>
      <c r="F6" s="4">
        <f t="shared" si="1"/>
        <v>2.7450000000000001</v>
      </c>
      <c r="G6" s="1"/>
      <c r="H6" s="1"/>
    </row>
    <row r="7" spans="1:8" ht="20" customHeight="1" x14ac:dyDescent="0.3">
      <c r="A7" s="2">
        <v>4</v>
      </c>
      <c r="B7" s="5">
        <v>4</v>
      </c>
      <c r="C7" s="4">
        <v>3.61</v>
      </c>
      <c r="D7" s="4">
        <v>3.87</v>
      </c>
      <c r="E7" s="4">
        <f t="shared" si="0"/>
        <v>3.74</v>
      </c>
      <c r="F7" s="4">
        <f t="shared" si="1"/>
        <v>3.62</v>
      </c>
      <c r="G7" s="1"/>
      <c r="H7" s="1"/>
    </row>
    <row r="8" spans="1:8" ht="20" customHeight="1" x14ac:dyDescent="0.3">
      <c r="A8" s="2">
        <v>5</v>
      </c>
      <c r="B8" s="5">
        <v>5</v>
      </c>
      <c r="C8" s="4">
        <v>4.57</v>
      </c>
      <c r="D8" s="4">
        <v>4.88</v>
      </c>
      <c r="E8" s="4">
        <f t="shared" si="0"/>
        <v>4.7249999999999996</v>
      </c>
      <c r="F8" s="4">
        <f t="shared" si="1"/>
        <v>4.6049999999999995</v>
      </c>
      <c r="G8" s="1"/>
      <c r="H8" s="1"/>
    </row>
    <row r="9" spans="1:8" ht="20" customHeight="1" x14ac:dyDescent="0.3">
      <c r="A9" s="2">
        <v>6</v>
      </c>
      <c r="B9" s="5">
        <v>6</v>
      </c>
      <c r="C9" s="4">
        <v>5.49</v>
      </c>
      <c r="D9" s="4">
        <v>5.72</v>
      </c>
      <c r="E9" s="4">
        <f t="shared" si="0"/>
        <v>5.6050000000000004</v>
      </c>
      <c r="F9" s="4">
        <f t="shared" si="1"/>
        <v>5.4850000000000003</v>
      </c>
      <c r="G9" s="1"/>
      <c r="H9" s="1"/>
    </row>
    <row r="10" spans="1:8" ht="20" customHeight="1" x14ac:dyDescent="0.3">
      <c r="A10" s="2">
        <v>7</v>
      </c>
      <c r="B10" s="5">
        <v>7</v>
      </c>
      <c r="C10" s="4">
        <v>6.3</v>
      </c>
      <c r="D10" s="4">
        <v>6.3</v>
      </c>
      <c r="E10" s="4">
        <f t="shared" si="0"/>
        <v>6.3</v>
      </c>
      <c r="F10" s="4">
        <f t="shared" si="1"/>
        <v>6.18</v>
      </c>
      <c r="G10" s="1"/>
      <c r="H10" s="1"/>
    </row>
    <row r="11" spans="1:8" ht="20" customHeight="1" x14ac:dyDescent="0.3">
      <c r="A11" s="15" t="s">
        <v>13</v>
      </c>
      <c r="B11" s="15"/>
      <c r="C11" s="15"/>
      <c r="D11" s="13"/>
      <c r="E11" s="13"/>
      <c r="F11" s="13"/>
      <c r="G11" s="1"/>
      <c r="H11" s="1"/>
    </row>
    <row r="12" spans="1:8" ht="20" customHeight="1" x14ac:dyDescent="0.3">
      <c r="A12" s="14" t="s">
        <v>12</v>
      </c>
      <c r="B12" s="14"/>
      <c r="C12" s="14"/>
      <c r="D12" s="13"/>
      <c r="E12" s="13"/>
      <c r="F12" s="13"/>
      <c r="G12" s="1"/>
      <c r="H12" s="1"/>
    </row>
    <row r="13" spans="1:8" ht="20" customHeight="1" x14ac:dyDescent="0.3">
      <c r="A13" s="16" t="s">
        <v>14</v>
      </c>
      <c r="B13" s="16"/>
      <c r="C13" s="16"/>
      <c r="D13" s="1"/>
      <c r="E13" s="1"/>
      <c r="F13" s="1"/>
      <c r="G13" s="1"/>
      <c r="H13" s="1"/>
    </row>
    <row r="14" spans="1:8" ht="20" customHeight="1" x14ac:dyDescent="0.3">
      <c r="A14" s="16" t="s">
        <v>15</v>
      </c>
      <c r="B14" s="16"/>
      <c r="C14" s="16"/>
      <c r="D14" s="1"/>
      <c r="E14" s="1"/>
      <c r="F14" s="1"/>
      <c r="G14" s="1"/>
      <c r="H14" s="1"/>
    </row>
    <row r="15" spans="1:8" ht="242" customHeight="1" x14ac:dyDescent="0.3">
      <c r="A15" s="1"/>
      <c r="B15" s="1"/>
      <c r="C15" s="1"/>
      <c r="D15" s="1"/>
      <c r="E15" s="1"/>
      <c r="F15" s="1"/>
      <c r="G15" s="1"/>
      <c r="H15" s="1"/>
    </row>
    <row r="16" spans="1:8" x14ac:dyDescent="0.3">
      <c r="A16" s="11" t="s">
        <v>10</v>
      </c>
      <c r="B16" s="11"/>
      <c r="C16" s="11"/>
      <c r="D16" s="11"/>
      <c r="E16" s="11"/>
      <c r="F16" s="11"/>
    </row>
    <row r="17" spans="1:6" ht="20" customHeight="1" x14ac:dyDescent="0.3">
      <c r="A17" s="6"/>
      <c r="B17" s="2" t="s">
        <v>5</v>
      </c>
      <c r="C17" s="2" t="s">
        <v>6</v>
      </c>
      <c r="D17" s="2" t="s">
        <v>7</v>
      </c>
      <c r="E17" s="2" t="s">
        <v>8</v>
      </c>
      <c r="F17" s="2" t="s">
        <v>9</v>
      </c>
    </row>
    <row r="18" spans="1:6" ht="20" customHeight="1" x14ac:dyDescent="0.3">
      <c r="A18" s="10"/>
      <c r="B18" s="2">
        <v>3.62</v>
      </c>
      <c r="C18" s="2">
        <v>3.69</v>
      </c>
      <c r="D18" s="2">
        <v>3.67</v>
      </c>
      <c r="E18" s="2">
        <v>3.43</v>
      </c>
      <c r="F18" s="4">
        <f>AVERAGE(B18:E18)</f>
        <v>3.6025</v>
      </c>
    </row>
    <row r="19" spans="1:6" ht="20" customHeight="1" x14ac:dyDescent="0.3">
      <c r="A19" s="2"/>
      <c r="B19" s="2"/>
      <c r="C19" s="2"/>
      <c r="D19" s="2"/>
      <c r="E19" s="2"/>
      <c r="F19" s="2"/>
    </row>
    <row r="20" spans="1:6" ht="20" customHeight="1" x14ac:dyDescent="0.3">
      <c r="A20" s="2"/>
      <c r="B20" s="2"/>
      <c r="C20" s="2"/>
      <c r="D20" s="2"/>
      <c r="E20" s="2"/>
      <c r="F20" s="12"/>
    </row>
  </sheetData>
  <mergeCells count="7">
    <mergeCell ref="A1:F1"/>
    <mergeCell ref="A11:C11"/>
    <mergeCell ref="A12:C12"/>
    <mergeCell ref="A13:C13"/>
    <mergeCell ref="A14:C14"/>
    <mergeCell ref="A17:A18"/>
    <mergeCell ref="A16:F16"/>
  </mergeCells>
  <phoneticPr fontId="1" type="noConversion"/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zhanghanbin</dc:creator>
  <cp:lastModifiedBy>涵斌 张</cp:lastModifiedBy>
  <cp:lastPrinted>2024-04-05T08:12:58Z</cp:lastPrinted>
  <dcterms:created xsi:type="dcterms:W3CDTF">2015-06-05T18:19:34Z</dcterms:created>
  <dcterms:modified xsi:type="dcterms:W3CDTF">2024-04-05T08:25:43Z</dcterms:modified>
</cp:coreProperties>
</file>